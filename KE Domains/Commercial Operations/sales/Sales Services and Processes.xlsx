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bout" sheetId="1" state="visible" r:id="rId3"/>
    <sheet name="Process" sheetId="2" state="visible" r:id="rId4"/>
    <sheet name="Service" sheetId="3" state="visible" r:id="rId5"/>
    <sheet name="Service x Process" sheetId="4" state="visible" r:id="rId6"/>
    <sheet name="Process SIPOCM" sheetId="5" state="visible" r:id="rId7"/>
    <sheet name="Changes" sheetId="6" state="visible" r:id="rId8"/>
  </sheets>
  <definedNames>
    <definedName function="false" hidden="true" localSheetId="5" name="_xlnm._FilterDatabase" vbProcedure="false">Changes!$A$1:$F$56</definedName>
    <definedName function="false" hidden="true" localSheetId="1" name="_xlnm._FilterDatabase" vbProcedure="false">Process!$A$1:$L$230</definedName>
    <definedName function="false" hidden="true" localSheetId="4" name="_xlnm._FilterDatabase" vbProcedure="false">'Process SIPOCM'!$A$1:$M$63</definedName>
    <definedName function="false" hidden="true" localSheetId="2" name="_xlnm._FilterDatabase" vbProcedure="false">Service!$A$1:$O$27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<sst xmlns="http://schemas.openxmlformats.org/spreadsheetml/2006/main" count="3530" uniqueCount="1332">
  <si>
    <t xml:space="preserve">Sales services and processes</t>
  </si>
  <si>
    <t xml:space="preserve">Domain: Sales (https://www.insperity.com/ontology/domain-sales/) and the Commercial Operations services Sales consumes. Draft, rebuilt 2026-10-21 for Jeffrey Wallk.</t>
  </si>
  <si>
    <t xml:space="preserve">What this workbook is</t>
  </si>
  <si>
    <t xml:space="preserve">A catalog of the services the Sales domain delivers or consumes, built on the processes of the APQC Process Classification Framework (PCF), category 3.0 Market and Sell Products and Services, adapted to a professional employer organization (PEO). It follows design decision D24: a service is enabled by one or more processes, a process is built from process steps, and every step has a SIPOCM (supplier, input, process step, output, customer, measure).</t>
  </si>
  <si>
    <t xml:space="preserve">Service: what a consumer receives (a buyer, the sales organization, sellers). Process: APQC level 3, modeled as core:process. Process step: APQC level 4 (activity), modeled as core:process-step; level 5 tasks are parts of their activity. Process groups (APQC level 2) are taxonomy branches, not processes. Agents and systems are assets that perform steps, listed under Supporting assets, never as services.</t>
  </si>
  <si>
    <t xml:space="preserve">PEO extensions (yellow ID, source "PEO extension", IDs PX-…) are processes and steps APQC does not list, such as census collection; each names the APQC element it extends. Processes APQC lists that do not apply to a PEO (packaging, retail pricing, trade marketing, back orders) are kept in grey and marked Not applicable, so the coverage is complete and traceable.</t>
  </si>
  <si>
    <t xml:space="preserve">Buyer personas, job steps and desired outcomes are not in this workbook: they are the value map, a separate assembly (D24).</t>
  </si>
  <si>
    <t xml:space="preserve">Source: APQC, Cross-Industry Process Classification Framework (PCF) version 7.2.1 (September 2018), category 3.0, element names and IDs as published (reproduced at https://www.slideshare.net/slideshow/cross-industry-v721-final/250477284). APQC has since released PCF 8.0 (https://www.apqc.org/resource-library/resource-listing/30-market-and-sell-products-and-services-definitions-and-key-3); check the numbering against a licensed 8.0 copy before publishing. The PCF is © APQC and free to use with attribution.</t>
  </si>
  <si>
    <t xml:space="preserve">Applicability, PEO interpretation, owner domains, extensions, services and the SIPOCM content are proposals by Claude for review, except the processes and steps marked "In model", which are in the Sales assembly 0.3.0.</t>
  </si>
  <si>
    <t xml:space="preserve">Summary</t>
  </si>
  <si>
    <t xml:space="preserve">Services</t>
  </si>
  <si>
    <t xml:space="preserve">  Buyer-facing sales service</t>
  </si>
  <si>
    <t xml:space="preserve">Delivered to the prospect or client buyer (Client Admin, HR Specialist, owner).</t>
  </si>
  <si>
    <t xml:space="preserve">  Sales operations service</t>
  </si>
  <si>
    <t xml:space="preserve">Delivered to the sales organization so that it can sell.</t>
  </si>
  <si>
    <t xml:space="preserve">  Sales enablement service</t>
  </si>
  <si>
    <t xml:space="preserve">Equips sellers and partners to sell.</t>
  </si>
  <si>
    <t xml:space="preserve">  Shared commercial service</t>
  </si>
  <si>
    <t xml:space="preserve">Delivered to Sales by another Commercial Operations domain (or by Customer success at handoff).</t>
  </si>
  <si>
    <t xml:space="preserve">  in the Sales assembly 0.3.0</t>
  </si>
  <si>
    <t xml:space="preserve">The rest are proposed</t>
  </si>
  <si>
    <t xml:space="preserve">APQC processes (level 3) in category 3.0</t>
  </si>
  <si>
    <t xml:space="preserve">  applying to a PEO as written</t>
  </si>
  <si>
    <t xml:space="preserve">  adapted to a PEO</t>
  </si>
  <si>
    <t xml:space="preserve">See PEO interpretation</t>
  </si>
  <si>
    <t xml:space="preserve">  not applicable</t>
  </si>
  <si>
    <t xml:space="preserve">PEO extension processes</t>
  </si>
  <si>
    <t xml:space="preserve">Process steps (APQC activities and tasks, and extensions)</t>
  </si>
  <si>
    <t xml:space="preserve">Steps with a SIPOCM</t>
  </si>
  <si>
    <t xml:space="preserve">Sales-owned steps; other domains' steps get theirs in their own workbooks</t>
  </si>
  <si>
    <t xml:space="preserve">Processes no service in this catalog uses</t>
  </si>
  <si>
    <t xml:space="preserve">Red on Service x Process</t>
  </si>
  <si>
    <t xml:space="preserve">Previous items reclassified</t>
  </si>
  <si>
    <t xml:space="preserve">Services in the previous list that were processes, steps or assets</t>
  </si>
  <si>
    <t xml:space="preserve">Worksheets</t>
  </si>
  <si>
    <t xml:space="preserve">Service</t>
  </si>
  <si>
    <t xml:space="preserve">The service catalog by service line: consumer, provider, who performs it, the processes that enable it and the step that delivers it.</t>
  </si>
  <si>
    <t xml:space="preserve">Process</t>
  </si>
  <si>
    <t xml:space="preserve">The APQC PCF 3.0 hierarchy with the PEO extensions, model tier, owner domain, applicability and selling stage.</t>
  </si>
  <si>
    <t xml:space="preserve">Service x Process</t>
  </si>
  <si>
    <t xml:space="preserve">Which processes enable each service (E) and which contains its delivery step (D).</t>
  </si>
  <si>
    <t xml:space="preserve">Process SIPOCM</t>
  </si>
  <si>
    <t xml:space="preserve">Supplier, input, process step, output, customer and measure of every Sales-owned step. "→ id" names the step that supplies an input or uses an output; suppliers and customers outside the organization are parties or roles.</t>
  </si>
  <si>
    <t xml:space="preserve">Changes</t>
  </si>
  <si>
    <t xml:space="preserve">What became of every service and step of the previous workbook, and why.</t>
  </si>
  <si>
    <t xml:space="preserve">ID</t>
  </si>
  <si>
    <t xml:space="preserve">APQC element ID</t>
  </si>
  <si>
    <t xml:space="preserve">Level</t>
  </si>
  <si>
    <t xml:space="preserve">Name</t>
  </si>
  <si>
    <t xml:space="preserve">Parent</t>
  </si>
  <si>
    <t xml:space="preserve">Model tier</t>
  </si>
  <si>
    <t xml:space="preserve">Owner domain</t>
  </si>
  <si>
    <t xml:space="preserve">Applicability to a PEO</t>
  </si>
  <si>
    <t xml:space="preserve">PEO interpretation</t>
  </si>
  <si>
    <t xml:space="preserve">Selling stage</t>
  </si>
  <si>
    <t xml:space="preserve">In model (Sales assembly 0.3.0)</t>
  </si>
  <si>
    <t xml:space="preserve">Source</t>
  </si>
  <si>
    <t xml:space="preserve">3.0</t>
  </si>
  <si>
    <t xml:space="preserve">Category</t>
  </si>
  <si>
    <t xml:space="preserve">Market and Sell Products and Services</t>
  </si>
  <si>
    <t xml:space="preserve">Value chain (grouping)</t>
  </si>
  <si>
    <t xml:space="preserve">Commercial operations</t>
  </si>
  <si>
    <t xml:space="preserve">Applies</t>
  </si>
  <si>
    <t xml:space="preserve">APQC PCF 7.2.1</t>
  </si>
  <si>
    <t xml:space="preserve">3.1</t>
  </si>
  <si>
    <t xml:space="preserve">Process group</t>
  </si>
  <si>
    <t xml:space="preserve">Understand markets, customers, and capabilities</t>
  </si>
  <si>
    <t xml:space="preserve">Process group (taxonomy branch)</t>
  </si>
  <si>
    <t xml:space="preserve">Marketing</t>
  </si>
  <si>
    <t xml:space="preserve">3.1.1</t>
  </si>
  <si>
    <t xml:space="preserve">    Perform customer and market intelligence analysis</t>
  </si>
  <si>
    <t xml:space="preserve">core:process</t>
  </si>
  <si>
    <t xml:space="preserve">3.1.1.1</t>
  </si>
  <si>
    <t xml:space="preserve">Activity</t>
  </si>
  <si>
    <t xml:space="preserve">        Conduct customer and market research</t>
  </si>
  <si>
    <t xml:space="preserve">core:process-step</t>
  </si>
  <si>
    <t xml:space="preserve">3.1.1.1.1</t>
  </si>
  <si>
    <t xml:space="preserve">Task</t>
  </si>
  <si>
    <t xml:space="preserve">            Understand consumer needs and predict customer purchasing behavior</t>
  </si>
  <si>
    <t xml:space="preserve">core:process-step (part of its activity)</t>
  </si>
  <si>
    <t xml:space="preserve">Adapted</t>
  </si>
  <si>
    <t xml:space="preserve">Understand the needs and buying behavior of small and midsize employers (the buyer personas and their jobs).</t>
  </si>
  <si>
    <t xml:space="preserve">3.1.1.2</t>
  </si>
  <si>
    <t xml:space="preserve">        Identify market segments</t>
  </si>
  <si>
    <t xml:space="preserve">3.1.1.2.1</t>
  </si>
  <si>
    <t xml:space="preserve">            Determine market share gain/loss</t>
  </si>
  <si>
    <t xml:space="preserve">Share of target employers, measured in worksite employees.</t>
  </si>
  <si>
    <t xml:space="preserve">3.1.1.3</t>
  </si>
  <si>
    <t xml:space="preserve">        Analyze market and industry trends</t>
  </si>
  <si>
    <t xml:space="preserve">3.1.1.4</t>
  </si>
  <si>
    <t xml:space="preserve">        Analyze competing organizations, competitive/substitute products/services</t>
  </si>
  <si>
    <t xml:space="preserve">3.1.1.5</t>
  </si>
  <si>
    <t xml:space="preserve">        Evaluate existing products/services</t>
  </si>
  <si>
    <t xml:space="preserve">Evaluate the organization's service bundles (human resources, payroll, benefits, workers' compensation).</t>
  </si>
  <si>
    <t xml:space="preserve">3.1.1.6</t>
  </si>
  <si>
    <t xml:space="preserve">        Assess internal and external business environment</t>
  </si>
  <si>
    <t xml:space="preserve">3.1.2</t>
  </si>
  <si>
    <t xml:space="preserve">    Evaluate and prioritize market opportunities</t>
  </si>
  <si>
    <t xml:space="preserve">3.1.2.1</t>
  </si>
  <si>
    <t xml:space="preserve">        Quantify market opportunities</t>
  </si>
  <si>
    <t xml:space="preserve">3.1.2.2</t>
  </si>
  <si>
    <t xml:space="preserve">        Determine target segments</t>
  </si>
  <si>
    <t xml:space="preserve">3.1.2.2.1</t>
  </si>
  <si>
    <t xml:space="preserve">            Identify under-served and saturated market segments</t>
  </si>
  <si>
    <t xml:space="preserve">3.1.2.3</t>
  </si>
  <si>
    <t xml:space="preserve">        Prioritize opportunities consistent with capabilities and overall business strategy</t>
  </si>
  <si>
    <t xml:space="preserve">3.1.2.4</t>
  </si>
  <si>
    <t xml:space="preserve">        Validate opportunities</t>
  </si>
  <si>
    <t xml:space="preserve">3.1.2.4.1</t>
  </si>
  <si>
    <t xml:space="preserve">            Test with customers/consumers</t>
  </si>
  <si>
    <t xml:space="preserve">3.1.2.4.2</t>
  </si>
  <si>
    <t xml:space="preserve">            Confirm internal capabilities</t>
  </si>
  <si>
    <t xml:space="preserve">3.2</t>
  </si>
  <si>
    <t xml:space="preserve">Develop marketing strategy</t>
  </si>
  <si>
    <t xml:space="preserve">3.2.1</t>
  </si>
  <si>
    <t xml:space="preserve">    Define offering and customer value proposition</t>
  </si>
  <si>
    <t xml:space="preserve">3.2.1.1</t>
  </si>
  <si>
    <t xml:space="preserve">        Define offering and positioning</t>
  </si>
  <si>
    <t xml:space="preserve">3.2.1.2</t>
  </si>
  <si>
    <t xml:space="preserve">        Develop value proposition including brand positioning for target segments</t>
  </si>
  <si>
    <t xml:space="preserve">3.2.1.3</t>
  </si>
  <si>
    <t xml:space="preserve">        Validate value proposition with target segments</t>
  </si>
  <si>
    <t xml:space="preserve">3.2.1.4</t>
  </si>
  <si>
    <t xml:space="preserve">        Develop new branding</t>
  </si>
  <si>
    <t xml:space="preserve">Brand work is occasional; usually a marketing project, not a standing process.</t>
  </si>
  <si>
    <t xml:space="preserve">3.2.2</t>
  </si>
  <si>
    <t xml:space="preserve">    Define pricing strategy</t>
  </si>
  <si>
    <t xml:space="preserve">Pricing and contracts</t>
  </si>
  <si>
    <t xml:space="preserve">Pricing of the administrative fee and of benefits and workers' compensation rates, set with underwriting.</t>
  </si>
  <si>
    <t xml:space="preserve">3.2.2.1</t>
  </si>
  <si>
    <t xml:space="preserve">        Conduct pricing analysis</t>
  </si>
  <si>
    <t xml:space="preserve">3.2.2.2</t>
  </si>
  <si>
    <t xml:space="preserve">        Establish guidelines for applying pricing and discounting of products/services</t>
  </si>
  <si>
    <t xml:space="preserve">3.2.2.3</t>
  </si>
  <si>
    <t xml:space="preserve">        Establish pricing targets</t>
  </si>
  <si>
    <t xml:space="preserve">3.2.2.4</t>
  </si>
  <si>
    <t xml:space="preserve">        Approve pricing strategies/policies and targets</t>
  </si>
  <si>
    <t xml:space="preserve">3.2.3</t>
  </si>
  <si>
    <t xml:space="preserve">    Define and manage channel strategy</t>
  </si>
  <si>
    <t xml:space="preserve">Partner and channel</t>
  </si>
  <si>
    <t xml:space="preserve">Channels are direct sales, benefits brokers and other advisors, and partners such as accountants and banks.</t>
  </si>
  <si>
    <t xml:space="preserve">3.2.3.1</t>
  </si>
  <si>
    <t xml:space="preserve">        Determine channels to be supported</t>
  </si>
  <si>
    <t xml:space="preserve">3.2.3.2</t>
  </si>
  <si>
    <t xml:space="preserve">        Establish channel objectives</t>
  </si>
  <si>
    <t xml:space="preserve">3.2.3.3</t>
  </si>
  <si>
    <t xml:space="preserve">        Determine channel role and fit with target segments</t>
  </si>
  <si>
    <t xml:space="preserve">3.2.3.4</t>
  </si>
  <si>
    <t xml:space="preserve">        Select channels for target segments</t>
  </si>
  <si>
    <t xml:space="preserve">3.2.3.5</t>
  </si>
  <si>
    <t xml:space="preserve">        Identify required channel capabilities</t>
  </si>
  <si>
    <t xml:space="preserve">3.2.3.6</t>
  </si>
  <si>
    <t xml:space="preserve">        Evaluate channel attributes and potential partners</t>
  </si>
  <si>
    <t xml:space="preserve">3.2.3.7</t>
  </si>
  <si>
    <t xml:space="preserve">        Orchestrate seamless customer experience across supported channels</t>
  </si>
  <si>
    <t xml:space="preserve">Consistent experience across direct, broker and digital channels.</t>
  </si>
  <si>
    <t xml:space="preserve">3.2.3.7.1</t>
  </si>
  <si>
    <t xml:space="preserve">            Define omni-channel strategy</t>
  </si>
  <si>
    <t xml:space="preserve">3.2.3.7.2</t>
  </si>
  <si>
    <t xml:space="preserve">            Define omni-channel requirements</t>
  </si>
  <si>
    <t xml:space="preserve">3.2.3.7.3</t>
  </si>
  <si>
    <t xml:space="preserve">            Develop omni-channel policies and procedures</t>
  </si>
  <si>
    <t xml:space="preserve">3.2.3.8</t>
  </si>
  <si>
    <t xml:space="preserve">        Develop and manage execution roadmap</t>
  </si>
  <si>
    <t xml:space="preserve">3.2.4</t>
  </si>
  <si>
    <t xml:space="preserve">    Analyze and manage channel performance</t>
  </si>
  <si>
    <t xml:space="preserve">3.2.4.1</t>
  </si>
  <si>
    <t xml:space="preserve">        Establish channel-specific metrics and targets</t>
  </si>
  <si>
    <t xml:space="preserve">3.2.4.2</t>
  </si>
  <si>
    <t xml:space="preserve">        Monitor and report performance</t>
  </si>
  <si>
    <t xml:space="preserve">3.2.4.3</t>
  </si>
  <si>
    <t xml:space="preserve">        Monitor and report events influencing factors</t>
  </si>
  <si>
    <t xml:space="preserve">3.2.4.4</t>
  </si>
  <si>
    <t xml:space="preserve">        Analyze performance</t>
  </si>
  <si>
    <t xml:space="preserve">3.2.4.5</t>
  </si>
  <si>
    <t xml:space="preserve">        Develop plan for improvements</t>
  </si>
  <si>
    <t xml:space="preserve">3.2.5</t>
  </si>
  <si>
    <t xml:space="preserve">    Develop marketing communication strategy</t>
  </si>
  <si>
    <t xml:space="preserve">3.2.5.1</t>
  </si>
  <si>
    <t xml:space="preserve">        Develop customer communication calendar</t>
  </si>
  <si>
    <t xml:space="preserve">3.2.5.2</t>
  </si>
  <si>
    <t xml:space="preserve">        Define public relations (PR) strategy</t>
  </si>
  <si>
    <t xml:space="preserve">3.2.5.3</t>
  </si>
  <si>
    <t xml:space="preserve">        Define direct marketing strategy</t>
  </si>
  <si>
    <t xml:space="preserve">3.2.5.4</t>
  </si>
  <si>
    <t xml:space="preserve">        Define internal marketing communication strategy</t>
  </si>
  <si>
    <t xml:space="preserve">3.2.5.5</t>
  </si>
  <si>
    <t xml:space="preserve">        Identify new media for marketing communication</t>
  </si>
  <si>
    <t xml:space="preserve">3.2.5.6</t>
  </si>
  <si>
    <t xml:space="preserve">        Define new media communication strategy</t>
  </si>
  <si>
    <t xml:space="preserve">3.2.5.7</t>
  </si>
  <si>
    <t xml:space="preserve">        Define point of sale (POS) communication strategy</t>
  </si>
  <si>
    <t xml:space="preserve">Not applicable</t>
  </si>
  <si>
    <t xml:space="preserve">There is no point of sale.</t>
  </si>
  <si>
    <t xml:space="preserve">3.2.5.8</t>
  </si>
  <si>
    <t xml:space="preserve">        Define communication guidelines and mechanisms</t>
  </si>
  <si>
    <t xml:space="preserve">3.2.6</t>
  </si>
  <si>
    <t xml:space="preserve">    Design and manage customer loyalty program</t>
  </si>
  <si>
    <t xml:space="preserve">Client referral and retention programs rather than a consumer loyalty program.</t>
  </si>
  <si>
    <t xml:space="preserve">3.2.6.1</t>
  </si>
  <si>
    <t xml:space="preserve">        Define customer loyalty program</t>
  </si>
  <si>
    <t xml:space="preserve">3.2.6.2</t>
  </si>
  <si>
    <t xml:space="preserve">        Acquire members to customer loyalty program</t>
  </si>
  <si>
    <t xml:space="preserve">3.2.6.3</t>
  </si>
  <si>
    <t xml:space="preserve">        Build engagement and relationship with members</t>
  </si>
  <si>
    <t xml:space="preserve">3.2.6.4</t>
  </si>
  <si>
    <t xml:space="preserve">        Monitor customer loyalty program benefits to the enterprise and the customer</t>
  </si>
  <si>
    <t xml:space="preserve">3.2.6.5</t>
  </si>
  <si>
    <t xml:space="preserve">        Optimize loyalty program value to both the enterprise and the customer</t>
  </si>
  <si>
    <t xml:space="preserve">3.3</t>
  </si>
  <si>
    <t xml:space="preserve">Develop and manage marketing plans</t>
  </si>
  <si>
    <t xml:space="preserve">3.3.1</t>
  </si>
  <si>
    <t xml:space="preserve">    Establish goals, objectives, and metrics for products/services by channel/segment</t>
  </si>
  <si>
    <t xml:space="preserve">3.3.2</t>
  </si>
  <si>
    <t xml:space="preserve">    Establish marketing budgets</t>
  </si>
  <si>
    <t xml:space="preserve">3.3.2.1</t>
  </si>
  <si>
    <t xml:space="preserve">        Confirm marketing alignment to business strategy</t>
  </si>
  <si>
    <t xml:space="preserve">3.3.2.2</t>
  </si>
  <si>
    <t xml:space="preserve">        Determine costs of marketing</t>
  </si>
  <si>
    <t xml:space="preserve">3.3.2.3</t>
  </si>
  <si>
    <t xml:space="preserve">        Create marketing budget</t>
  </si>
  <si>
    <t xml:space="preserve">3.3.2.4</t>
  </si>
  <si>
    <t xml:space="preserve">        Determine projected ROI for marketing investment</t>
  </si>
  <si>
    <t xml:space="preserve">3.3.3</t>
  </si>
  <si>
    <t xml:space="preserve">    Develop and manage pricing</t>
  </si>
  <si>
    <t xml:space="preserve">3.3.3.1</t>
  </si>
  <si>
    <t xml:space="preserve">        Understand resource requirements for each product/service and delivery channel/method</t>
  </si>
  <si>
    <t xml:space="preserve">3.3.3.2</t>
  </si>
  <si>
    <t xml:space="preserve">        Determine corporate incentives</t>
  </si>
  <si>
    <t xml:space="preserve">Sales incentives and promotions offered to employers, such as a waived setup fee.</t>
  </si>
  <si>
    <t xml:space="preserve">3.3.3.3</t>
  </si>
  <si>
    <t xml:space="preserve">        Determine pricing based on volume/unit forecast</t>
  </si>
  <si>
    <t xml:space="preserve">Pricing by number of worksite employees.</t>
  </si>
  <si>
    <t xml:space="preserve">3.3.3.4</t>
  </si>
  <si>
    <t xml:space="preserve">        Execute pricing plan</t>
  </si>
  <si>
    <t xml:space="preserve">3.3.3.5</t>
  </si>
  <si>
    <t xml:space="preserve">        Evaluate pricing performance</t>
  </si>
  <si>
    <t xml:space="preserve">3.3.3.6</t>
  </si>
  <si>
    <t xml:space="preserve">        Refine pricing as needed</t>
  </si>
  <si>
    <t xml:space="preserve">3.3.3.7</t>
  </si>
  <si>
    <t xml:space="preserve">        Implement promotional pricing programs</t>
  </si>
  <si>
    <t xml:space="preserve">Retail promotional pricing does not apply.</t>
  </si>
  <si>
    <t xml:space="preserve">3.3.3.8</t>
  </si>
  <si>
    <t xml:space="preserve">        Implement other retail pricing programs</t>
  </si>
  <si>
    <t xml:space="preserve">Retail pricing programs do not apply.</t>
  </si>
  <si>
    <t xml:space="preserve">3.3.3.9</t>
  </si>
  <si>
    <t xml:space="preserve">        Communicate and implement price changes</t>
  </si>
  <si>
    <t xml:space="preserve">3.3.3.10</t>
  </si>
  <si>
    <t xml:space="preserve">        Achieve regulatory approval for pricing</t>
  </si>
  <si>
    <t xml:space="preserve">Regulatory filings that govern pricing, such as state workers' compensation rates.</t>
  </si>
  <si>
    <t xml:space="preserve">3.3.4</t>
  </si>
  <si>
    <t xml:space="preserve">    Develop and manage promotional activities</t>
  </si>
  <si>
    <t xml:space="preserve">3.3.4.1</t>
  </si>
  <si>
    <t xml:space="preserve">        Define promotional concepts and objectives</t>
  </si>
  <si>
    <t xml:space="preserve">3.3.4.2</t>
  </si>
  <si>
    <t xml:space="preserve">        Develop marketing messages</t>
  </si>
  <si>
    <t xml:space="preserve">3.3.4.3</t>
  </si>
  <si>
    <t xml:space="preserve">        Define target audience</t>
  </si>
  <si>
    <t xml:space="preserve">3.3.4.4</t>
  </si>
  <si>
    <t xml:space="preserve">        Plan and test promotional activities</t>
  </si>
  <si>
    <t xml:space="preserve">3.3.4.5</t>
  </si>
  <si>
    <t xml:space="preserve">        Execute promotional activities</t>
  </si>
  <si>
    <t xml:space="preserve">3.3.4.6</t>
  </si>
  <si>
    <t xml:space="preserve">        Evaluate promotional performance metrics</t>
  </si>
  <si>
    <t xml:space="preserve">3.3.4.7</t>
  </si>
  <si>
    <t xml:space="preserve">        Refine promotional performance metrics</t>
  </si>
  <si>
    <t xml:space="preserve">3.3.4.8</t>
  </si>
  <si>
    <t xml:space="preserve">        Incorporate learning into future/planned consumer promotions</t>
  </si>
  <si>
    <t xml:space="preserve">PX-3.3.4.a</t>
  </si>
  <si>
    <t xml:space="preserve">        Hand off marketing-qualified leads to sales</t>
  </si>
  <si>
    <t xml:space="preserve">PEO extension</t>
  </si>
  <si>
    <t xml:space="preserve">Pass each marketing-qualified lead, with its source and engagement history, to sales.</t>
  </si>
  <si>
    <t xml:space="preserve">Discover</t>
  </si>
  <si>
    <t xml:space="preserve">3.3.5</t>
  </si>
  <si>
    <t xml:space="preserve">    Track customer management measures</t>
  </si>
  <si>
    <t xml:space="preserve">3.3.5.1</t>
  </si>
  <si>
    <t xml:space="preserve">        Determine customer lifetime value</t>
  </si>
  <si>
    <t xml:space="preserve">Client lifetime value in worksite employees and tenure; revenue figures belong to Finance (D15).</t>
  </si>
  <si>
    <t xml:space="preserve">3.3.5.2</t>
  </si>
  <si>
    <t xml:space="preserve">        Analyze customer revenue trend</t>
  </si>
  <si>
    <t xml:space="preserve">Owned with Finance (D15): growth of the client in worksite employees.</t>
  </si>
  <si>
    <t xml:space="preserve">3.3.5.3</t>
  </si>
  <si>
    <t xml:space="preserve">        Analyze customer attrition and retention rates</t>
  </si>
  <si>
    <t xml:space="preserve">3.3.5.4</t>
  </si>
  <si>
    <t xml:space="preserve">        Analyze customer metrics</t>
  </si>
  <si>
    <t xml:space="preserve">3.3.5.5</t>
  </si>
  <si>
    <t xml:space="preserve">        Revise customer strategies, objectives, and plans based on metrics</t>
  </si>
  <si>
    <t xml:space="preserve">3.3.6</t>
  </si>
  <si>
    <t xml:space="preserve">    Analyze and respond to customer insight</t>
  </si>
  <si>
    <t xml:space="preserve">3.3.6.1</t>
  </si>
  <si>
    <t xml:space="preserve">        Monitor and respond to social media activity</t>
  </si>
  <si>
    <t xml:space="preserve">3.3.6.2</t>
  </si>
  <si>
    <t xml:space="preserve">        Analyze customer website activity</t>
  </si>
  <si>
    <t xml:space="preserve">3.3.6.3</t>
  </si>
  <si>
    <t xml:space="preserve">        Analyze customer purchase patterns</t>
  </si>
  <si>
    <t xml:space="preserve">Service adoption patterns of clients.</t>
  </si>
  <si>
    <t xml:space="preserve">3.3.6.4</t>
  </si>
  <si>
    <t xml:space="preserve">        Develop business rules to provide personalized offers</t>
  </si>
  <si>
    <t xml:space="preserve">3.3.6.5</t>
  </si>
  <si>
    <t xml:space="preserve">        Monitor effectiveness of personalized offers and adjust offers accordingly</t>
  </si>
  <si>
    <t xml:space="preserve">3.3.7</t>
  </si>
  <si>
    <t xml:space="preserve">    Develop and manage packaging strategy</t>
  </si>
  <si>
    <t xml:space="preserve">There is no physical packaging. Service bundling is part of 3.2.1 Define offering.</t>
  </si>
  <si>
    <t xml:space="preserve">3.3.7.1</t>
  </si>
  <si>
    <t xml:space="preserve">        Plan packaging strategy</t>
  </si>
  <si>
    <t xml:space="preserve">3.3.7.2</t>
  </si>
  <si>
    <t xml:space="preserve">        Test packaging options</t>
  </si>
  <si>
    <t xml:space="preserve">3.3.7.3</t>
  </si>
  <si>
    <t xml:space="preserve">        Execute packaging strategy</t>
  </si>
  <si>
    <t xml:space="preserve">3.3.7.4</t>
  </si>
  <si>
    <t xml:space="preserve">        Refine packaging</t>
  </si>
  <si>
    <t xml:space="preserve">3.4</t>
  </si>
  <si>
    <t xml:space="preserve">Develop sales strategy</t>
  </si>
  <si>
    <t xml:space="preserve">Sales</t>
  </si>
  <si>
    <t xml:space="preserve">3.4.1</t>
  </si>
  <si>
    <t xml:space="preserve">    Develop sales forecast</t>
  </si>
  <si>
    <t xml:space="preserve">The forecast is of worksite employees and opportunities expected to close; revenue is Finance's (D15).</t>
  </si>
  <si>
    <t xml:space="preserve">3.4.1.1</t>
  </si>
  <si>
    <t xml:space="preserve">        Gather current and historic order information</t>
  </si>
  <si>
    <t xml:space="preserve">Bookings and closed opportunities, in worksite employees.</t>
  </si>
  <si>
    <t xml:space="preserve">3.4.1.2</t>
  </si>
  <si>
    <t xml:space="preserve">        Analyze sales trends and patterns</t>
  </si>
  <si>
    <t xml:space="preserve">3.4.1.3</t>
  </si>
  <si>
    <t xml:space="preserve">        Generate sales forecast</t>
  </si>
  <si>
    <t xml:space="preserve">3.4.1.4</t>
  </si>
  <si>
    <t xml:space="preserve">        Analyze historical and planned promotions and events</t>
  </si>
  <si>
    <t xml:space="preserve">Retail promotions and events do not drive the forecast.</t>
  </si>
  <si>
    <t xml:space="preserve">3.4.2</t>
  </si>
  <si>
    <t xml:space="preserve">    Develop sales partner/alliance relationships</t>
  </si>
  <si>
    <t xml:space="preserve">Relationships with benefits brokers, advisors and referral partners.</t>
  </si>
  <si>
    <t xml:space="preserve">3.4.2.1</t>
  </si>
  <si>
    <t xml:space="preserve">        Identify alliance opportunities</t>
  </si>
  <si>
    <t xml:space="preserve">3.4.2.2</t>
  </si>
  <si>
    <t xml:space="preserve">        Design alliance programs and methods for selecting and managing relationships</t>
  </si>
  <si>
    <t xml:space="preserve">3.4.2.3</t>
  </si>
  <si>
    <t xml:space="preserve">        Select alliances</t>
  </si>
  <si>
    <t xml:space="preserve">3.4.2.4</t>
  </si>
  <si>
    <t xml:space="preserve">        Develop trade customer trade strategy and customer objectives/targets</t>
  </si>
  <si>
    <t xml:space="preserve">Trade customers belong to consumer goods.</t>
  </si>
  <si>
    <t xml:space="preserve">3.4.2.5</t>
  </si>
  <si>
    <t xml:space="preserve">        Define trade programs and funding options</t>
  </si>
  <si>
    <t xml:space="preserve">Trade programs belong to consumer goods.</t>
  </si>
  <si>
    <t xml:space="preserve">3.4.2.6</t>
  </si>
  <si>
    <t xml:space="preserve">        Conduct planning activities for major trade customers</t>
  </si>
  <si>
    <t xml:space="preserve">3.4.2.7</t>
  </si>
  <si>
    <t xml:space="preserve">        Develop partner and alliance management strategies</t>
  </si>
  <si>
    <t xml:space="preserve">3.4.2.8</t>
  </si>
  <si>
    <t xml:space="preserve">        Establish partner and alliance management goals</t>
  </si>
  <si>
    <t xml:space="preserve">3.4.2.9</t>
  </si>
  <si>
    <t xml:space="preserve">        Establish partner and alliance agreements</t>
  </si>
  <si>
    <t xml:space="preserve">3.4.2.10</t>
  </si>
  <si>
    <t xml:space="preserve">        Develop promotional and category management calendars (trade marketing calendars)</t>
  </si>
  <si>
    <t xml:space="preserve">Trade marketing and category calendars belong to consumer goods.</t>
  </si>
  <si>
    <t xml:space="preserve">3.4.2.11</t>
  </si>
  <si>
    <t xml:space="preserve">        Create strategic and tactical sales plans by customer</t>
  </si>
  <si>
    <t xml:space="preserve">Plans by major broker or partner.</t>
  </si>
  <si>
    <t xml:space="preserve">3.4.2.12</t>
  </si>
  <si>
    <t xml:space="preserve">        Communicate planning information to customer teams</t>
  </si>
  <si>
    <t xml:space="preserve">3.4.3</t>
  </si>
  <si>
    <t xml:space="preserve">    Establish overall sales budgets</t>
  </si>
  <si>
    <t xml:space="preserve">Sales budgets in worksite employees and selling costs; revenue, cost and profit are Finance's (D15).</t>
  </si>
  <si>
    <t xml:space="preserve">3.4.3.1</t>
  </si>
  <si>
    <t xml:space="preserve">        Calculate product market share</t>
  </si>
  <si>
    <t xml:space="preserve">Market share in worksite employees.</t>
  </si>
  <si>
    <t xml:space="preserve">3.4.3.2</t>
  </si>
  <si>
    <t xml:space="preserve">        Calculate product revenue</t>
  </si>
  <si>
    <t xml:space="preserve">Finance (outside Commercial Operations, D15)</t>
  </si>
  <si>
    <t xml:space="preserve">3.4.3.3</t>
  </si>
  <si>
    <t xml:space="preserve">        Determine variable costs</t>
  </si>
  <si>
    <t xml:space="preserve">3.4.3.4</t>
  </si>
  <si>
    <t xml:space="preserve">        Determine overhead and fixed costs</t>
  </si>
  <si>
    <t xml:space="preserve">3.4.3.5</t>
  </si>
  <si>
    <t xml:space="preserve">        Calculate net profit</t>
  </si>
  <si>
    <t xml:space="preserve">3.4.3.6</t>
  </si>
  <si>
    <t xml:space="preserve">        Create budget</t>
  </si>
  <si>
    <t xml:space="preserve">3.4.4</t>
  </si>
  <si>
    <t xml:space="preserve">    Establish sales goals and measures</t>
  </si>
  <si>
    <t xml:space="preserve">3.4.5</t>
  </si>
  <si>
    <t xml:space="preserve">    Establish customer management measures</t>
  </si>
  <si>
    <t xml:space="preserve">3.5</t>
  </si>
  <si>
    <t xml:space="preserve">Develop and manage sales plans</t>
  </si>
  <si>
    <t xml:space="preserve">3.5.1</t>
  </si>
  <si>
    <t xml:space="preserve">    Manage leads/opportunities</t>
  </si>
  <si>
    <t xml:space="preserve">3.5.1.1</t>
  </si>
  <si>
    <t xml:space="preserve">        Identify potential customers</t>
  </si>
  <si>
    <t xml:space="preserve">3.5.1.2</t>
  </si>
  <si>
    <t xml:space="preserve">        Identify/receive leads/opportunities</t>
  </si>
  <si>
    <t xml:space="preserve">3.5.1.3</t>
  </si>
  <si>
    <t xml:space="preserve">        Validate and qualify leads/opportunities</t>
  </si>
  <si>
    <t xml:space="preserve">Qualify</t>
  </si>
  <si>
    <t xml:space="preserve">PX-3.5.1.a</t>
  </si>
  <si>
    <t xml:space="preserve">        Review employer liabilities</t>
  </si>
  <si>
    <t xml:space="preserve">Inventory the employer obligations and risks the prospect carries today (compliance, claims, payroll tax) that co-employment would share.</t>
  </si>
  <si>
    <t xml:space="preserve">3.5.1.4</t>
  </si>
  <si>
    <t xml:space="preserve">        Match opportunities to business strategy</t>
  </si>
  <si>
    <t xml:space="preserve">3.5.1.5</t>
  </si>
  <si>
    <t xml:space="preserve">        Develop opportunity win plans</t>
  </si>
  <si>
    <t xml:space="preserve">Evaluate</t>
  </si>
  <si>
    <t xml:space="preserve">3.5.1.6</t>
  </si>
  <si>
    <t xml:space="preserve">        Manage opportunity pipeline</t>
  </si>
  <si>
    <t xml:space="preserve">All stages</t>
  </si>
  <si>
    <t xml:space="preserve">3.5.1.7</t>
  </si>
  <si>
    <t xml:space="preserve">        Determine sales resource allocation</t>
  </si>
  <si>
    <t xml:space="preserve">3.5.1.8</t>
  </si>
  <si>
    <t xml:space="preserve">        Manage customer sales calls</t>
  </si>
  <si>
    <t xml:space="preserve">Covers discovery meetings, demonstrations, negotiation and signature of the client service agreement.</t>
  </si>
  <si>
    <t xml:space="preserve">3.5.1.8.1</t>
  </si>
  <si>
    <t xml:space="preserve">            Perform sales calls</t>
  </si>
  <si>
    <t xml:space="preserve">3.5.1.8.2</t>
  </si>
  <si>
    <t xml:space="preserve">            Perform pre-sales activities</t>
  </si>
  <si>
    <t xml:space="preserve">Demonstrations of the platform and service model.</t>
  </si>
  <si>
    <t xml:space="preserve">3.5.1.8.3</t>
  </si>
  <si>
    <t xml:space="preserve">            Manage customer meetings/workshops</t>
  </si>
  <si>
    <t xml:space="preserve">PX-3.5.1.8.a</t>
  </si>
  <si>
    <t xml:space="preserve">            Capture jobs and needs</t>
  </si>
  <si>
    <t xml:space="preserve">Record the jobs and job steps the buyer is trying to get done; the value map links them to the buyer personas.</t>
  </si>
  <si>
    <t xml:space="preserve">PX-3.5.1.8.b</t>
  </si>
  <si>
    <t xml:space="preserve">            Handle objections</t>
  </si>
  <si>
    <t xml:space="preserve">Answer the buyer's concerns about co-employment, cost, benefits disruption or control so that the decision can proceed.</t>
  </si>
  <si>
    <t xml:space="preserve">Decide</t>
  </si>
  <si>
    <t xml:space="preserve">PX-3.5.1.8.c</t>
  </si>
  <si>
    <t xml:space="preserve">            Negotiate terms</t>
  </si>
  <si>
    <t xml:space="preserve">Agree the services, fees, start date and terms of the client service agreement with the buyer.</t>
  </si>
  <si>
    <t xml:space="preserve">3.5.1.8.4</t>
  </si>
  <si>
    <t xml:space="preserve">            Close the sale</t>
  </si>
  <si>
    <t xml:space="preserve">Negotiation and signature of the client service agreement.</t>
  </si>
  <si>
    <t xml:space="preserve">3.5.1.8.5</t>
  </si>
  <si>
    <t xml:space="preserve">            Record outcome of sales process</t>
  </si>
  <si>
    <t xml:space="preserve">PX-05</t>
  </si>
  <si>
    <t xml:space="preserve">    Client transition planning</t>
  </si>
  <si>
    <t xml:space="preserve">Extends 3.5.1 Manage leads/opportunities. Plan with the buyer how its policies, records and employees move to the organization's service model.</t>
  </si>
  <si>
    <t xml:space="preserve">PX-05.1</t>
  </si>
  <si>
    <t xml:space="preserve">        Policy and records mapping</t>
  </si>
  <si>
    <t xml:space="preserve">Map the prospect's handbook, policies and employee records to the service model.</t>
  </si>
  <si>
    <t xml:space="preserve">PX-05.2</t>
  </si>
  <si>
    <t xml:space="preserve">        Transition communication planning</t>
  </si>
  <si>
    <t xml:space="preserve">Plan, with the buyer, how and when employees learn about the change and what they must do.</t>
  </si>
  <si>
    <t xml:space="preserve">3.5.2</t>
  </si>
  <si>
    <t xml:space="preserve">    Manage customers and accounts</t>
  </si>
  <si>
    <t xml:space="preserve">3.5.2.1</t>
  </si>
  <si>
    <t xml:space="preserve">        Select key customers/accounts</t>
  </si>
  <si>
    <t xml:space="preserve">3.5.2.2</t>
  </si>
  <si>
    <t xml:space="preserve">        Develop sales/key account plan</t>
  </si>
  <si>
    <t xml:space="preserve">3.5.2.3</t>
  </si>
  <si>
    <t xml:space="preserve">        Manage sales/key account plan</t>
  </si>
  <si>
    <t xml:space="preserve">3.5.2.4</t>
  </si>
  <si>
    <t xml:space="preserve">        Manage customer relationships</t>
  </si>
  <si>
    <t xml:space="preserve">3.5.2.5</t>
  </si>
  <si>
    <t xml:space="preserve">        Manage customer master data</t>
  </si>
  <si>
    <t xml:space="preserve">3.5.2.5.1</t>
  </si>
  <si>
    <t xml:space="preserve">            Collect and merge internal and third-party customer information</t>
  </si>
  <si>
    <t xml:space="preserve">3.5.2.5.2</t>
  </si>
  <si>
    <t xml:space="preserve">            De-duplicate customer data</t>
  </si>
  <si>
    <t xml:space="preserve">3.5.3</t>
  </si>
  <si>
    <t xml:space="preserve">    Develop and manage sales proposals, bids, and quotes</t>
  </si>
  <si>
    <t xml:space="preserve">3.5.3.1</t>
  </si>
  <si>
    <t xml:space="preserve">        Receive Request For Proposal (RFP)/Request For Quote (RFQ)</t>
  </si>
  <si>
    <t xml:space="preserve">Propose</t>
  </si>
  <si>
    <t xml:space="preserve">3.5.3.2</t>
  </si>
  <si>
    <t xml:space="preserve">        Refine customer requirements</t>
  </si>
  <si>
    <t xml:space="preserve">3.5.3.3</t>
  </si>
  <si>
    <t xml:space="preserve">        Review RFP/RFQ request</t>
  </si>
  <si>
    <t xml:space="preserve">3.5.3.4</t>
  </si>
  <si>
    <t xml:space="preserve">        Perform competitive analysis</t>
  </si>
  <si>
    <t xml:space="preserve">3.5.3.5</t>
  </si>
  <si>
    <t xml:space="preserve">        Validate with strategy/business plans</t>
  </si>
  <si>
    <t xml:space="preserve">3.5.3.6</t>
  </si>
  <si>
    <t xml:space="preserve">        Understand customer business and requirements</t>
  </si>
  <si>
    <t xml:space="preserve">3.5.3.7</t>
  </si>
  <si>
    <t xml:space="preserve">        Develop solution and delivery approach</t>
  </si>
  <si>
    <t xml:space="preserve">3.5.3.8</t>
  </si>
  <si>
    <t xml:space="preserve">        Identify staffing requirements</t>
  </si>
  <si>
    <t xml:space="preserve">Name the service team the client will have (human resources, payroll and benefits specialists).</t>
  </si>
  <si>
    <t xml:space="preserve">3.5.3.9</t>
  </si>
  <si>
    <t xml:space="preserve">        Develop pricing and scheduling estimates</t>
  </si>
  <si>
    <t xml:space="preserve">Administrative fee, benefits and workers' compensation rates, set through underwriting (PX-04).</t>
  </si>
  <si>
    <t xml:space="preserve">3.5.3.10</t>
  </si>
  <si>
    <t xml:space="preserve">        Conduct profitability analysis</t>
  </si>
  <si>
    <t xml:space="preserve">Owned by pricing and contracts with Finance (D15).</t>
  </si>
  <si>
    <t xml:space="preserve">3.5.3.11</t>
  </si>
  <si>
    <t xml:space="preserve">        Manage internal reviews</t>
  </si>
  <si>
    <t xml:space="preserve">Includes the legal review of disclosures and nonstandard terms.</t>
  </si>
  <si>
    <t xml:space="preserve">3.5.3.12</t>
  </si>
  <si>
    <t xml:space="preserve">        Manage internal approvals</t>
  </si>
  <si>
    <t xml:space="preserve">Pricing exception review.</t>
  </si>
  <si>
    <t xml:space="preserve">3.5.3.13</t>
  </si>
  <si>
    <t xml:space="preserve">        Submit/present bid/proposal/quote to customer</t>
  </si>
  <si>
    <t xml:space="preserve">3.5.3.14</t>
  </si>
  <si>
    <t xml:space="preserve">        Revise bid/proposal/quote</t>
  </si>
  <si>
    <t xml:space="preserve">3.5.3.15</t>
  </si>
  <si>
    <t xml:space="preserve">        Manage notification outcome</t>
  </si>
  <si>
    <t xml:space="preserve">PX-01</t>
  </si>
  <si>
    <t xml:space="preserve">    Census collection</t>
  </si>
  <si>
    <t xml:space="preserve">Extends 3.5.3 Develop and manage sales proposals, bids, and quotes. Request the prospect's employee census and validate it against the minimum field set, for cost analysis, benefits comparison and quoting.</t>
  </si>
  <si>
    <t xml:space="preserve">…/resource/domain-sales/process/census-collection</t>
  </si>
  <si>
    <t xml:space="preserve">PX-01.1</t>
  </si>
  <si>
    <t xml:space="preserve">        Census request</t>
  </si>
  <si>
    <t xml:space="preserve">Ask the prospect for its employee census and send the template of the minimum fields that quoting and comparison need.</t>
  </si>
  <si>
    <t xml:space="preserve">…/resource/domain-sales/step/census-request</t>
  </si>
  <si>
    <t xml:space="preserve">PX-01.2</t>
  </si>
  <si>
    <t xml:space="preserve">        Census validation</t>
  </si>
  <si>
    <t xml:space="preserve">Check the census against the minimum field set, return failures to be corrected, and release the validated census.</t>
  </si>
  <si>
    <t xml:space="preserve">…/resource/domain-sales/step/census-validation</t>
  </si>
  <si>
    <t xml:space="preserve">PX-02</t>
  </si>
  <si>
    <t xml:space="preserve">    Employment cost analysis</t>
  </si>
  <si>
    <t xml:space="preserve">Extends 3.5.3 Develop and manage sales proposals, bids, and quotes. Establish what the prospect spends today to employ its workforce, project it as headcount grows, and compare it with the cost under the organization's offering.</t>
  </si>
  <si>
    <t xml:space="preserve">…/resource/domain-sales/process/employment-cost-analysis</t>
  </si>
  <si>
    <t xml:space="preserve">PX-02.1</t>
  </si>
  <si>
    <t xml:space="preserve">        Current cost collection</t>
  </si>
  <si>
    <t xml:space="preserve">Assemble what the prospect spends today to employ its workforce, pre-filled from the census.</t>
  </si>
  <si>
    <t xml:space="preserve">…/resource/domain-sales/step/current-cost-collection</t>
  </si>
  <si>
    <t xml:space="preserve">PX-02.2</t>
  </si>
  <si>
    <t xml:space="preserve">        Workforce cost forecasting</t>
  </si>
  <si>
    <t xml:space="preserve">Rerun the cost model at other headcounts and flag regulatory thresholds the prospect would cross.</t>
  </si>
  <si>
    <t xml:space="preserve">…/resource/domain-sales/step/workforce-cost-forecasting</t>
  </si>
  <si>
    <t xml:space="preserve">PX-02.3</t>
  </si>
  <si>
    <t xml:space="preserve">        Employment cost comparison</t>
  </si>
  <si>
    <t xml:space="preserve">Set the all-in cost per employee today beside the cost under the offering and hand the comparison to the buyer.</t>
  </si>
  <si>
    <t xml:space="preserve">…/resource/domain-sales/step/employment-cost-comparison</t>
  </si>
  <si>
    <t xml:space="preserve">PX-03</t>
  </si>
  <si>
    <t xml:space="preserve">    Benefits plan analysis</t>
  </si>
  <si>
    <t xml:space="preserve">Extends 3.5.3 Develop and manage sales proposals, bids, and quotes. Collect the benefit plans the prospect's employees have today and compare them with the plans they would see.</t>
  </si>
  <si>
    <t xml:space="preserve">…/resource/domain-sales/process/benefits-plan-analysis</t>
  </si>
  <si>
    <t xml:space="preserve">PX-03.1</t>
  </si>
  <si>
    <t xml:space="preserve">        Current benefits collection</t>
  </si>
  <si>
    <t xml:space="preserve">Collect the plan documents, rates and contributions of the prospect's current benefit plans.</t>
  </si>
  <si>
    <t xml:space="preserve">…/resource/domain-sales/step/current-benefits-collection</t>
  </si>
  <si>
    <t xml:space="preserve">PX-03.2</t>
  </si>
  <si>
    <t xml:space="preserve">        Benefits plan comparison</t>
  </si>
  <si>
    <t xml:space="preserve">Set the current plans beside the plans employees would see, with the per-paycheck change for each employee.</t>
  </si>
  <si>
    <t xml:space="preserve">…/resource/domain-sales/step/benefits-plan-comparison</t>
  </si>
  <si>
    <t xml:space="preserve">PX-04</t>
  </si>
  <si>
    <t xml:space="preserve">    Underwriting and quoting</t>
  </si>
  <si>
    <t xml:space="preserve">Extends 3.5.3 Develop and manage sales proposals, bids, and quotes. Underwrite the prospect's benefits and workers' compensation risk and issue a binding quote of fees and rates.</t>
  </si>
  <si>
    <t xml:space="preserve">PX-04.1</t>
  </si>
  <si>
    <t xml:space="preserve">        Quote request</t>
  </si>
  <si>
    <t xml:space="preserve">Receive the census, the proposed solution and the opportunity details from sales.</t>
  </si>
  <si>
    <t xml:space="preserve">PX-04.2</t>
  </si>
  <si>
    <t xml:space="preserve">        Benefits and workers' compensation underwriting</t>
  </si>
  <si>
    <t xml:space="preserve">Assess the risk of the workforce and set the rates.</t>
  </si>
  <si>
    <t xml:space="preserve">PX-04.3</t>
  </si>
  <si>
    <t xml:space="preserve">        Quote issue</t>
  </si>
  <si>
    <t xml:space="preserve">Issue the binding quote, with its validity and conditions, to sales.</t>
  </si>
  <si>
    <t xml:space="preserve">3.5.4</t>
  </si>
  <si>
    <t xml:space="preserve">    Manage sales orders</t>
  </si>
  <si>
    <t xml:space="preserve">The "order" is the signed client service agreement, recorded as a booking.</t>
  </si>
  <si>
    <t xml:space="preserve">3.5.4.1</t>
  </si>
  <si>
    <t xml:space="preserve">        Accept and validate sales orders</t>
  </si>
  <si>
    <t xml:space="preserve">Validate the signed agreement and its booking.</t>
  </si>
  <si>
    <t xml:space="preserve">Onboard</t>
  </si>
  <si>
    <t xml:space="preserve">3.5.4.2</t>
  </si>
  <si>
    <t xml:space="preserve">        Collect and maintain account information</t>
  </si>
  <si>
    <t xml:space="preserve">Set up the client account.</t>
  </si>
  <si>
    <t xml:space="preserve">3.5.4.2.1</t>
  </si>
  <si>
    <t xml:space="preserve">            Administer key account details</t>
  </si>
  <si>
    <t xml:space="preserve">3.5.4.2.2</t>
  </si>
  <si>
    <t xml:space="preserve">            Retrieve full customer details</t>
  </si>
  <si>
    <t xml:space="preserve">3.5.4.2.3</t>
  </si>
  <si>
    <t xml:space="preserve">            Modify involved party details</t>
  </si>
  <si>
    <t xml:space="preserve">3.5.4.2.4</t>
  </si>
  <si>
    <t xml:space="preserve">            Record address details</t>
  </si>
  <si>
    <t xml:space="preserve">3.5.4.2.5</t>
  </si>
  <si>
    <t xml:space="preserve">            Record contact details</t>
  </si>
  <si>
    <t xml:space="preserve">3.5.4.2.6</t>
  </si>
  <si>
    <t xml:space="preserve">            Record key customer communication profile details</t>
  </si>
  <si>
    <t xml:space="preserve">3.5.4.2.7</t>
  </si>
  <si>
    <t xml:space="preserve">            Review involved party information</t>
  </si>
  <si>
    <t xml:space="preserve">3.5.4.2.8</t>
  </si>
  <si>
    <t xml:space="preserve">            Terminate involved party information</t>
  </si>
  <si>
    <t xml:space="preserve">3.5.4.3</t>
  </si>
  <si>
    <t xml:space="preserve">        Determine availability</t>
  </si>
  <si>
    <t xml:space="preserve">There is no inventory to check.</t>
  </si>
  <si>
    <t xml:space="preserve">3.5.4.4</t>
  </si>
  <si>
    <t xml:space="preserve">        Determine fulfillment process</t>
  </si>
  <si>
    <t xml:space="preserve">Choose the implementation path: service model, start date and payroll cycle.</t>
  </si>
  <si>
    <t xml:space="preserve">3.5.4.5</t>
  </si>
  <si>
    <t xml:space="preserve">        Enter orders into system</t>
  </si>
  <si>
    <t xml:space="preserve">Enter the booking.</t>
  </si>
  <si>
    <t xml:space="preserve">3.5.4.6</t>
  </si>
  <si>
    <t xml:space="preserve">        Identify/perform cross-sell/up-sell activity</t>
  </si>
  <si>
    <t xml:space="preserve">Add-on services, such as time and attendance or retirement plans.</t>
  </si>
  <si>
    <t xml:space="preserve">3.5.4.7</t>
  </si>
  <si>
    <t xml:space="preserve">        Process back orders and updates</t>
  </si>
  <si>
    <t xml:space="preserve">There are no back orders.</t>
  </si>
  <si>
    <t xml:space="preserve">3.5.4.8</t>
  </si>
  <si>
    <t xml:space="preserve">        Handle sales order inquiries including post-order fulfillment transactions</t>
  </si>
  <si>
    <t xml:space="preserve">PX-3.5.4.a</t>
  </si>
  <si>
    <t xml:space="preserve">        Hand off the client to implementation</t>
  </si>
  <si>
    <t xml:space="preserve">Pass the won client, with its agreement, jobs and needs and transition plan, to customer success for implementation.</t>
  </si>
  <si>
    <t xml:space="preserve">3.5.5</t>
  </si>
  <si>
    <t xml:space="preserve">    Manage sales partners and alliances</t>
  </si>
  <si>
    <t xml:space="preserve">Benefits brokers, advisors and referral partners.</t>
  </si>
  <si>
    <t xml:space="preserve">3.5.5.1</t>
  </si>
  <si>
    <t xml:space="preserve">        Provide sales and product/service training to sales partners/alliances</t>
  </si>
  <si>
    <t xml:space="preserve">3.5.5.1.1</t>
  </si>
  <si>
    <t xml:space="preserve">            Provide certification enablement training</t>
  </si>
  <si>
    <t xml:space="preserve">3.5.5.1.2</t>
  </si>
  <si>
    <t xml:space="preserve">            Manage certifications and skills</t>
  </si>
  <si>
    <t xml:space="preserve">3.5.5.1.3</t>
  </si>
  <si>
    <t xml:space="preserve">            Provide support to partners/alliances</t>
  </si>
  <si>
    <t xml:space="preserve">3.5.5.2</t>
  </si>
  <si>
    <t xml:space="preserve">        Provide marketing materials to sales partners/alliances</t>
  </si>
  <si>
    <t xml:space="preserve">3.5.5.3</t>
  </si>
  <si>
    <t xml:space="preserve">        Evaluate partner/alliance results</t>
  </si>
  <si>
    <t xml:space="preserve">3.5.5.4</t>
  </si>
  <si>
    <t xml:space="preserve">        Manage sales partner/alliance master data</t>
  </si>
  <si>
    <t xml:space="preserve">PX-3.5.5.a</t>
  </si>
  <si>
    <t xml:space="preserve">        Register partner opportunities</t>
  </si>
  <si>
    <t xml:space="preserve">Record an opportunity a broker or partner brings, so that it is credited and deconflicted with direct sales.</t>
  </si>
  <si>
    <t xml:space="preserve">PX-06</t>
  </si>
  <si>
    <t xml:space="preserve">    Sales incentive calculation</t>
  </si>
  <si>
    <t xml:space="preserve">Outside category 3.0 (human capital: rewards)</t>
  </si>
  <si>
    <t xml:space="preserve">Calculate the commissions and incentives sellers and partners earn on bookings, and resolve disputes.</t>
  </si>
  <si>
    <t xml:space="preserve">PX-06.1</t>
  </si>
  <si>
    <t xml:space="preserve">        Commission calculation</t>
  </si>
  <si>
    <t xml:space="preserve">Calculate each seller's commission from bookings and the incentive plan.</t>
  </si>
  <si>
    <t xml:space="preserve">PX-06.2</t>
  </si>
  <si>
    <t xml:space="preserve">        Incentive dispute handling</t>
  </si>
  <si>
    <t xml:space="preserve">Review and resolve a seller's dispute of a commission statement.</t>
  </si>
  <si>
    <t xml:space="preserve">PX-07</t>
  </si>
  <si>
    <t xml:space="preserve">    Seller enablement</t>
  </si>
  <si>
    <t xml:space="preserve">Outside category 3.0 (human capital: learning)</t>
  </si>
  <si>
    <t xml:space="preserve">Equip sellers with the knowledge, content and certification they need to sell the offerings.</t>
  </si>
  <si>
    <t xml:space="preserve">PX-07.1</t>
  </si>
  <si>
    <t xml:space="preserve">        Seller onboarding and training</t>
  </si>
  <si>
    <t xml:space="preserve">Train new sellers on the offerings, the selling process and the tools.</t>
  </si>
  <si>
    <t xml:space="preserve">PX-07.2</t>
  </si>
  <si>
    <t xml:space="preserve">        Offering certification</t>
  </si>
  <si>
    <t xml:space="preserve">Certify sellers on each offering before they sell it alone.</t>
  </si>
  <si>
    <t xml:space="preserve">Service line</t>
  </si>
  <si>
    <t xml:space="preserve">Definition</t>
  </si>
  <si>
    <t xml:space="preserve">Consumer</t>
  </si>
  <si>
    <t xml:space="preserve">Provider domain</t>
  </si>
  <si>
    <t xml:space="preserve">Delivery mode</t>
  </si>
  <si>
    <t xml:space="preserve">Performed by</t>
  </si>
  <si>
    <t xml:space="preserve">Supporting assets (agents, systems)</t>
  </si>
  <si>
    <t xml:space="preserve">Enabling processes</t>
  </si>
  <si>
    <t xml:space="preserve">Delivery step</t>
  </si>
  <si>
    <t xml:space="preserve">Delivery step name</t>
  </si>
  <si>
    <t xml:space="preserve">Processes in Service x Process</t>
  </si>
  <si>
    <t xml:space="preserve">Status</t>
  </si>
  <si>
    <t xml:space="preserve">Replaces (previous workbook)</t>
  </si>
  <si>
    <t xml:space="preserve">SV-B01</t>
  </si>
  <si>
    <t xml:space="preserve">Buyer-facing sales service</t>
  </si>
  <si>
    <t xml:space="preserve">Discovery consultation</t>
  </si>
  <si>
    <t xml:space="preserve">A service in which the organization helps a prospect understand its own human resources, payroll and benefits situation and the jobs it is trying to get done.</t>
  </si>
  <si>
    <t xml:space="preserve">Buyer (Client Admin, HR Specialist)</t>
  </si>
  <si>
    <t xml:space="preserve">Manual</t>
  </si>
  <si>
    <t xml:space="preserve">Sales representative</t>
  </si>
  <si>
    <t xml:space="preserve">Customer relationship management system</t>
  </si>
  <si>
    <t xml:space="preserve">Proposed</t>
  </si>
  <si>
    <t xml:space="preserve">SV-01</t>
  </si>
  <si>
    <t xml:space="preserve">SV-B02</t>
  </si>
  <si>
    <t xml:space="preserve">Total cost of employment analysis</t>
  </si>
  <si>
    <t xml:space="preserve">A service that shows the prospect what it costs to employ its workforce today, as it grows, and under the organization's offering.</t>
  </si>
  <si>
    <t xml:space="preserve">Buyer (Client Admin)</t>
  </si>
  <si>
    <t xml:space="preserve">Hybrid</t>
  </si>
  <si>
    <t xml:space="preserve">Sales representative; Sales advisor agent</t>
  </si>
  <si>
    <t xml:space="preserve">Sales advisor agent; cost model</t>
  </si>
  <si>
    <t xml:space="preserve">PX-01; PX-02</t>
  </si>
  <si>
    <t xml:space="preserve">In model</t>
  </si>
  <si>
    <t xml:space="preserve">SV-02</t>
  </si>
  <si>
    <t xml:space="preserve">SV-B03</t>
  </si>
  <si>
    <t xml:space="preserve">Benefits comparison</t>
  </si>
  <si>
    <t xml:space="preserve">A service that shows the prospect's employees' benefit plans today beside the plans they would see.</t>
  </si>
  <si>
    <t xml:space="preserve">Buyer (HR Specialist)</t>
  </si>
  <si>
    <t xml:space="preserve">Sales advisor agent; plan comparison tool</t>
  </si>
  <si>
    <t xml:space="preserve">PX-01; PX-03</t>
  </si>
  <si>
    <t xml:space="preserve">SV-04</t>
  </si>
  <si>
    <t xml:space="preserve">SV-B04</t>
  </si>
  <si>
    <t xml:space="preserve">Solution demonstration</t>
  </si>
  <si>
    <t xml:space="preserve">A service that shows the buyer how the platform and the service model would work for its employees and administrators.</t>
  </si>
  <si>
    <t xml:space="preserve">Sales representative; solution specialist</t>
  </si>
  <si>
    <t xml:space="preserve">Demonstration environment</t>
  </si>
  <si>
    <t xml:space="preserve">SV-03</t>
  </si>
  <si>
    <t xml:space="preserve">SV-B05</t>
  </si>
  <si>
    <t xml:space="preserve">Proposal and quote</t>
  </si>
  <si>
    <t xml:space="preserve">A service that prepares and presents a proposal of services, fees and rates, backed by a binding quote, in answer to the buyer's requirements or RFP.</t>
  </si>
  <si>
    <t xml:space="preserve">Buyer (Client Admin, owner); broker</t>
  </si>
  <si>
    <t xml:space="preserve">Sales representative; underwriter</t>
  </si>
  <si>
    <t xml:space="preserve">Proposal generator; Sales advisor agent</t>
  </si>
  <si>
    <t xml:space="preserve">3.5.3; PX-01; PX-04</t>
  </si>
  <si>
    <t xml:space="preserve">SV-05</t>
  </si>
  <si>
    <t xml:space="preserve">SV-B06</t>
  </si>
  <si>
    <t xml:space="preserve">Client transition planning</t>
  </si>
  <si>
    <t xml:space="preserve">A service that plans with the buyer how its policies, records and employees move to the organization's service model.</t>
  </si>
  <si>
    <t xml:space="preserve">Transition plan template</t>
  </si>
  <si>
    <t xml:space="preserve">SV-06</t>
  </si>
  <si>
    <t xml:space="preserve">SV-B07</t>
  </si>
  <si>
    <t xml:space="preserve">Client service agreement execution</t>
  </si>
  <si>
    <t xml:space="preserve">A service that brings the negotiated terms to a signed client service agreement the buyer can rely on.</t>
  </si>
  <si>
    <t xml:space="preserve">Buyer (owner, decision maker)</t>
  </si>
  <si>
    <t xml:space="preserve">Sales representative; contracts specialist</t>
  </si>
  <si>
    <t xml:space="preserve">Contract management system; electronic signature</t>
  </si>
  <si>
    <t xml:space="preserve">3.5.1; 3.5.4</t>
  </si>
  <si>
    <t xml:space="preserve">SV-35</t>
  </si>
  <si>
    <t xml:space="preserve">SV-B08</t>
  </si>
  <si>
    <t xml:space="preserve">Account expansion</t>
  </si>
  <si>
    <t xml:space="preserve">A service that helps an existing client add worksite employees, locations or services as its needs grow.</t>
  </si>
  <si>
    <t xml:space="preserve">Client (Client Admin, owner)</t>
  </si>
  <si>
    <t xml:space="preserve">Account representative; client success manager</t>
  </si>
  <si>
    <t xml:space="preserve">Customer relationship management system; Sales advisor agent</t>
  </si>
  <si>
    <t xml:space="preserve">3.5.2; 3.5.4</t>
  </si>
  <si>
    <t xml:space="preserve">SV-O01</t>
  </si>
  <si>
    <t xml:space="preserve">Sales operations service</t>
  </si>
  <si>
    <t xml:space="preserve">Lead management</t>
  </si>
  <si>
    <t xml:space="preserve">A service that receives, scores, routes and qualifies leads so that each reaches the right seller quickly.</t>
  </si>
  <si>
    <t xml:space="preserve">Sales representative; Sales manager</t>
  </si>
  <si>
    <t xml:space="preserve">Automated</t>
  </si>
  <si>
    <t xml:space="preserve">Workflow automation; sales operations analyst</t>
  </si>
  <si>
    <t xml:space="preserve">Lead scoring model; workflow automation; customer relationship management system</t>
  </si>
  <si>
    <t xml:space="preserve">SV-10; SV-11</t>
  </si>
  <si>
    <t xml:space="preserve">SV-O02</t>
  </si>
  <si>
    <t xml:space="preserve">Pipeline and forecast reporting</t>
  </si>
  <si>
    <t xml:space="preserve">A service that gives sales leaders a current view of the pipeline and the worksite employees expected to close.</t>
  </si>
  <si>
    <t xml:space="preserve">Sales manager; Sales executive; Finance</t>
  </si>
  <si>
    <t xml:space="preserve">Sales operations analyst; Sales manager</t>
  </si>
  <si>
    <t xml:space="preserve">Customer relationship management system; forecast model</t>
  </si>
  <si>
    <t xml:space="preserve">3.5.1; 3.4.1</t>
  </si>
  <si>
    <t xml:space="preserve">SV-12; SV-13</t>
  </si>
  <si>
    <t xml:space="preserve">SV-O03</t>
  </si>
  <si>
    <t xml:space="preserve">Sales goals, territories and quotas</t>
  </si>
  <si>
    <t xml:space="preserve">A service that sets the sales goals, territories, quotas and budgets each team and seller works to, and the measures they are judged by.</t>
  </si>
  <si>
    <t xml:space="preserve">Sales manager; Sales representative</t>
  </si>
  <si>
    <t xml:space="preserve">Sales operations analyst; Sales executive</t>
  </si>
  <si>
    <t xml:space="preserve">Territory planning tool</t>
  </si>
  <si>
    <t xml:space="preserve">3.4.3; 3.4.4; 3.4.5; 3.5.1</t>
  </si>
  <si>
    <t xml:space="preserve">SV-14</t>
  </si>
  <si>
    <t xml:space="preserve">SV-O04</t>
  </si>
  <si>
    <t xml:space="preserve">Sales incentive compensation</t>
  </si>
  <si>
    <t xml:space="preserve">A service that calculates and pays the commissions and incentives sellers earn, and resolves disputes.</t>
  </si>
  <si>
    <t xml:space="preserve">Sales representative; partner</t>
  </si>
  <si>
    <t xml:space="preserve">Sales operations analyst</t>
  </si>
  <si>
    <t xml:space="preserve">Incentive compensation system</t>
  </si>
  <si>
    <t xml:space="preserve">SV-15</t>
  </si>
  <si>
    <t xml:space="preserve">SV-O05</t>
  </si>
  <si>
    <t xml:space="preserve">Booking administration</t>
  </si>
  <si>
    <t xml:space="preserve">A service that validates each signed agreement, records the booking and sets up the client account.</t>
  </si>
  <si>
    <t xml:space="preserve">Sales representative; client success manager; Finance</t>
  </si>
  <si>
    <t xml:space="preserve">SV-16</t>
  </si>
  <si>
    <t xml:space="preserve">SV-O06</t>
  </si>
  <si>
    <t xml:space="preserve">Customer data stewardship</t>
  </si>
  <si>
    <t xml:space="preserve">A service that keeps account, contact, lead and opportunity data complete, current and free of duplicates.</t>
  </si>
  <si>
    <t xml:space="preserve">Sales manager; Sales representative; Marketing</t>
  </si>
  <si>
    <t xml:space="preserve">Data steward</t>
  </si>
  <si>
    <t xml:space="preserve">Customer relationship management system; data quality tool</t>
  </si>
  <si>
    <t xml:space="preserve">SV-18</t>
  </si>
  <si>
    <t xml:space="preserve">SV-O07</t>
  </si>
  <si>
    <t xml:space="preserve">Win-loss analysis</t>
  </si>
  <si>
    <t xml:space="preserve">A service that records and analyzes why opportunities are won or lost, for sales, marketing and pricing.</t>
  </si>
  <si>
    <t xml:space="preserve">Sales manager; Marketing; Pricing and contracts</t>
  </si>
  <si>
    <t xml:space="preserve">Sales representative; sales operations analyst</t>
  </si>
  <si>
    <t xml:space="preserve">3.5.1; 3.5.3</t>
  </si>
  <si>
    <t xml:space="preserve">SV-E01</t>
  </si>
  <si>
    <t xml:space="preserve">Sales enablement service</t>
  </si>
  <si>
    <t xml:space="preserve">Seller training and certification</t>
  </si>
  <si>
    <t xml:space="preserve">A service that trains and certifies sellers and partners on the offerings, the selling process and the tools.</t>
  </si>
  <si>
    <t xml:space="preserve">Sales enablement manager</t>
  </si>
  <si>
    <t xml:space="preserve">Learning platform</t>
  </si>
  <si>
    <t xml:space="preserve">PX-07; 3.5.5</t>
  </si>
  <si>
    <t xml:space="preserve">SV-20</t>
  </si>
  <si>
    <t xml:space="preserve">SV-E02</t>
  </si>
  <si>
    <t xml:space="preserve">Opportunity win planning</t>
  </si>
  <si>
    <t xml:space="preserve">A service that helps a seller plan how to win a specific opportunity: buying committee, competition, next best actions.</t>
  </si>
  <si>
    <t xml:space="preserve">Sales manager; Sales advisor agent</t>
  </si>
  <si>
    <t xml:space="preserve">Sales advisor agent (PEO Sales Advisor)</t>
  </si>
  <si>
    <t xml:space="preserve">SV-21</t>
  </si>
  <si>
    <t xml:space="preserve">SV-E03</t>
  </si>
  <si>
    <t xml:space="preserve">Sales content and competitive positioning</t>
  </si>
  <si>
    <t xml:space="preserve">A service that supplies sellers and partners with positioning, battlecards and content against each competitor and incumbent.</t>
  </si>
  <si>
    <t xml:space="preserve">Product marketing; competitive intelligence analyst</t>
  </si>
  <si>
    <t xml:space="preserve">Content library</t>
  </si>
  <si>
    <t xml:space="preserve">3.1.1; 3.2.1; 3.5.5</t>
  </si>
  <si>
    <t xml:space="preserve">SV-31</t>
  </si>
  <si>
    <t xml:space="preserve">SV-S01</t>
  </si>
  <si>
    <t xml:space="preserve">Shared commercial service</t>
  </si>
  <si>
    <t xml:space="preserve">Lead generation</t>
  </si>
  <si>
    <t xml:space="preserve">A service, provided by Marketing, that generates marketing-qualified leads from campaigns and hands them to sales.</t>
  </si>
  <si>
    <t xml:space="preserve">Marketing operations</t>
  </si>
  <si>
    <t xml:space="preserve">Marketing automation</t>
  </si>
  <si>
    <t xml:space="preserve">3.1.2; 3.3.4</t>
  </si>
  <si>
    <t xml:space="preserve">SV-30</t>
  </si>
  <si>
    <t xml:space="preserve">SV-S02</t>
  </si>
  <si>
    <t xml:space="preserve">Market and competitive intelligence</t>
  </si>
  <si>
    <t xml:space="preserve">A service, provided by Marketing, that supplies research on target segments, market trends and competitors.</t>
  </si>
  <si>
    <t xml:space="preserve">Sales; Pricing and contracts</t>
  </si>
  <si>
    <t xml:space="preserve">Competitive intelligence analyst</t>
  </si>
  <si>
    <t xml:space="preserve">Research subscriptions</t>
  </si>
  <si>
    <t xml:space="preserve">3.1.1; 3.1.2</t>
  </si>
  <si>
    <t xml:space="preserve">SV-S03</t>
  </si>
  <si>
    <t xml:space="preserve">Pricing guidelines</t>
  </si>
  <si>
    <t xml:space="preserve">A service, provided by Pricing and contracts, that sets the fee and discount guidelines sellers price within.</t>
  </si>
  <si>
    <t xml:space="preserve">Pricing analyst</t>
  </si>
  <si>
    <t xml:space="preserve">3.2.2; 3.3.3</t>
  </si>
  <si>
    <t xml:space="preserve">SV-S04</t>
  </si>
  <si>
    <t xml:space="preserve">Underwriting and quoting</t>
  </si>
  <si>
    <t xml:space="preserve">A service, provided by Pricing and contracts, that underwrites the prospect's workforce and issues a binding quote.</t>
  </si>
  <si>
    <t xml:space="preserve">Underwriter</t>
  </si>
  <si>
    <t xml:space="preserve">Rating engine</t>
  </si>
  <si>
    <t xml:space="preserve">PX-04; PX-01</t>
  </si>
  <si>
    <t xml:space="preserve">SV-33; SV-32</t>
  </si>
  <si>
    <t xml:space="preserve">SV-S05</t>
  </si>
  <si>
    <t xml:space="preserve">Pricing exception review</t>
  </si>
  <si>
    <t xml:space="preserve">A service, provided by Pricing and contracts, that approves or declines prices and terms outside the guidelines.</t>
  </si>
  <si>
    <t xml:space="preserve">Pricing review board</t>
  </si>
  <si>
    <t xml:space="preserve">Approval workflow</t>
  </si>
  <si>
    <t xml:space="preserve">SV-34</t>
  </si>
  <si>
    <t xml:space="preserve">SV-S06</t>
  </si>
  <si>
    <t xml:space="preserve">Contract and disclosure review</t>
  </si>
  <si>
    <t xml:space="preserve">A service, provided by Legal, that reviews nonstandard terms and the disclosures a proposal and agreement must carry.</t>
  </si>
  <si>
    <t xml:space="preserve">Legal</t>
  </si>
  <si>
    <t xml:space="preserve">Counsel</t>
  </si>
  <si>
    <t xml:space="preserve">Clause library</t>
  </si>
  <si>
    <t xml:space="preserve">SV-36</t>
  </si>
  <si>
    <t xml:space="preserve">SV-S07</t>
  </si>
  <si>
    <t xml:space="preserve">Broker and partner sales support</t>
  </si>
  <si>
    <t xml:space="preserve">A service, provided by Partner and channel, that recruits, equips and credits the brokers and partners who bring opportunities.</t>
  </si>
  <si>
    <t xml:space="preserve">Sales representative; broker; partner</t>
  </si>
  <si>
    <t xml:space="preserve">Partner manager</t>
  </si>
  <si>
    <t xml:space="preserve">Partner portal</t>
  </si>
  <si>
    <t xml:space="preserve">3.2.3; 3.4.2; 3.5.5</t>
  </si>
  <si>
    <t xml:space="preserve">SV-37</t>
  </si>
  <si>
    <t xml:space="preserve">SV-S08</t>
  </si>
  <si>
    <t xml:space="preserve">Client implementation</t>
  </si>
  <si>
    <t xml:space="preserve">A service, provided by Customer success, that brings a won client into active service (outside PCF category 3.0: 5.3 Deliver service to customer).</t>
  </si>
  <si>
    <t xml:space="preserve">Client; Sales representative</t>
  </si>
  <si>
    <t xml:space="preserve">Customer success</t>
  </si>
  <si>
    <t xml:space="preserve">Client success manager</t>
  </si>
  <si>
    <t xml:space="preserve">Implementation workflow</t>
  </si>
  <si>
    <t xml:space="preserve">SV-38</t>
  </si>
  <si>
    <t xml:space="preserve">Processes</t>
  </si>
  <si>
    <t xml:space="preserve">Process →</t>
  </si>
  <si>
    <t xml:space="preserve">Perform customer and market intelligence analysis</t>
  </si>
  <si>
    <t xml:space="preserve">Evaluate and prioritize market opportunities</t>
  </si>
  <si>
    <t xml:space="preserve">Define offering and customer value proposition</t>
  </si>
  <si>
    <t xml:space="preserve">Define pricing strategy</t>
  </si>
  <si>
    <t xml:space="preserve">Define and manage channel strategy</t>
  </si>
  <si>
    <t xml:space="preserve">Analyze and manage channel performance</t>
  </si>
  <si>
    <t xml:space="preserve">Develop marketing communication strategy</t>
  </si>
  <si>
    <t xml:space="preserve">Design and manage customer loyalty program</t>
  </si>
  <si>
    <t xml:space="preserve">Establish goals, objectives, and metrics for products/services by channel/segment</t>
  </si>
  <si>
    <t xml:space="preserve">Establish marketing budgets</t>
  </si>
  <si>
    <t xml:space="preserve">Develop and manage pricing</t>
  </si>
  <si>
    <t xml:space="preserve">Develop and manage promotional activities</t>
  </si>
  <si>
    <t xml:space="preserve">Track customer management measures</t>
  </si>
  <si>
    <t xml:space="preserve">Analyze and respond to customer insight</t>
  </si>
  <si>
    <t xml:space="preserve">Develop sales forecast</t>
  </si>
  <si>
    <t xml:space="preserve">Develop sales partner/alliance relationships</t>
  </si>
  <si>
    <t xml:space="preserve">Establish overall sales budgets</t>
  </si>
  <si>
    <t xml:space="preserve">Establish sales goals and measures</t>
  </si>
  <si>
    <t xml:space="preserve">Establish customer management measures</t>
  </si>
  <si>
    <t xml:space="preserve">Manage leads/opportunities</t>
  </si>
  <si>
    <t xml:space="preserve">Manage customers and accounts</t>
  </si>
  <si>
    <t xml:space="preserve">Develop and manage sales proposals, bids, and quotes</t>
  </si>
  <si>
    <t xml:space="preserve">Census collection</t>
  </si>
  <si>
    <t xml:space="preserve">Employment cost analysis</t>
  </si>
  <si>
    <t xml:space="preserve">Benefits plan analysis</t>
  </si>
  <si>
    <t xml:space="preserve">Manage sales orders</t>
  </si>
  <si>
    <t xml:space="preserve">Manage sales partners and alliances</t>
  </si>
  <si>
    <t xml:space="preserve">Sales incentive calculation</t>
  </si>
  <si>
    <t xml:space="preserve">Seller enablement</t>
  </si>
  <si>
    <t xml:space="preserve">Owner domain →</t>
  </si>
  <si>
    <t xml:space="preserve">D</t>
  </si>
  <si>
    <t xml:space="preserve">E</t>
  </si>
  <si>
    <t xml:space="preserve">Services enabled</t>
  </si>
  <si>
    <t xml:space="preserve">Services delivered</t>
  </si>
  <si>
    <t xml:space="preserve">The process that contains the service's delivery step (the step that hands the service over, core:deliveryOf).</t>
  </si>
  <si>
    <t xml:space="preserve">A process that enables the service (core:supports).</t>
  </si>
  <si>
    <t xml:space="preserve">0 in red</t>
  </si>
  <si>
    <t xml:space="preserve">No service in this catalog uses the process: it serves another domain's own services, or a service is missing.</t>
  </si>
  <si>
    <t xml:space="preserve">Columns</t>
  </si>
  <si>
    <t xml:space="preserve">APQC PCF 7.2.1 level-3 processes that apply to a PEO, then the PEO extension processes (PX-…). Not applicable processes are left out; see Process.</t>
  </si>
  <si>
    <t xml:space="preserve">Process ID</t>
  </si>
  <si>
    <t xml:space="preserve">Step ID</t>
  </si>
  <si>
    <t xml:space="preserve">Process step</t>
  </si>
  <si>
    <t xml:space="preserve">S · Supplier</t>
  </si>
  <si>
    <t xml:space="preserve">I · Input</t>
  </si>
  <si>
    <t xml:space="preserve">P · Performed by</t>
  </si>
  <si>
    <t xml:space="preserve">O · Output</t>
  </si>
  <si>
    <t xml:space="preserve">C · Customer</t>
  </si>
  <si>
    <t xml:space="preserve">M · Measure (unit, direction)</t>
  </si>
  <si>
    <t xml:space="preserve">Sales representatives (pipeline updates); Sales operations (bookings)</t>
  </si>
  <si>
    <t xml:space="preserve">Bookings history; opportunity pipeline</t>
  </si>
  <si>
    <t xml:space="preserve">Forecast input data set</t>
  </si>
  <si>
    <t xml:space="preserve">→ 3.4.1.2</t>
  </si>
  <si>
    <t xml:space="preserve">Opportunities with close date and worksite employee count (% of open opportunities, maximize)</t>
  </si>
  <si>
    <t xml:space="preserve">→ 3.4.1.1</t>
  </si>
  <si>
    <t xml:space="preserve">Sales operations analyst; forecast model</t>
  </si>
  <si>
    <t xml:space="preserve">Trend analysis</t>
  </si>
  <si>
    <t xml:space="preserve">→ 3.4.1.3</t>
  </si>
  <si>
    <t xml:space="preserve">Analysis cycle time (days, minimize)</t>
  </si>
  <si>
    <t xml:space="preserve">Forecast model</t>
  </si>
  <si>
    <t xml:space="preserve">→ 3.4.1.2; Sales managers (commits)</t>
  </si>
  <si>
    <t xml:space="preserve">Trend analysis; seller commits</t>
  </si>
  <si>
    <t xml:space="preserve">Sales forecast (worksite employees and opportunities by period)</t>
  </si>
  <si>
    <t xml:space="preserve">Sales executive; Finance</t>
  </si>
  <si>
    <t xml:space="preserve">Forecast accuracy (% variance of actual from forecast worksite employees, minimize)</t>
  </si>
  <si>
    <t xml:space="preserve">Finance (cost and revenue figures, D15); → 3.4.4</t>
  </si>
  <si>
    <t xml:space="preserve">Sales goals; seller headcount plan; Finance figures</t>
  </si>
  <si>
    <t xml:space="preserve">Sales executive with Finance</t>
  </si>
  <si>
    <t xml:space="preserve">Sales budget</t>
  </si>
  <si>
    <t xml:space="preserve">Finance; Sales managers</t>
  </si>
  <si>
    <t xml:space="preserve">Budget variance (% of selling cost budget, minimize)</t>
  </si>
  <si>
    <t xml:space="preserve">Planning tool</t>
  </si>
  <si>
    <t xml:space="preserve">Sales executive; → 3.4.1.3</t>
  </si>
  <si>
    <t xml:space="preserve">Growth targets; sales forecast</t>
  </si>
  <si>
    <t xml:space="preserve">Sales executive; Sales operations analyst</t>
  </si>
  <si>
    <t xml:space="preserve">Sales goals, quotas and territories</t>
  </si>
  <si>
    <t xml:space="preserve">Sales managers; Sales representatives; → PX-06.1</t>
  </si>
  <si>
    <t xml:space="preserve">Sellers with a quota before the period starts (%, maximize)</t>
  </si>
  <si>
    <t xml:space="preserve">Customer success (client health and retention)</t>
  </si>
  <si>
    <t xml:space="preserve">Account segments; client health</t>
  </si>
  <si>
    <t xml:space="preserve">Sales executive with Customer success</t>
  </si>
  <si>
    <t xml:space="preserve">Account measures (coverage, expansion worksite employees)</t>
  </si>
  <si>
    <t xml:space="preserve">Sales managers; Customer success</t>
  </si>
  <si>
    <t xml:space="preserve">Key accounts with measures set (%, maximize)</t>
  </si>
  <si>
    <t xml:space="preserve">Marketing (ideal customer profile, target lists)</t>
  </si>
  <si>
    <t xml:space="preserve">Ideal customer profile; target account list</t>
  </si>
  <si>
    <t xml:space="preserve">Prospect list</t>
  </si>
  <si>
    <t xml:space="preserve">→ 3.5.1.8.1</t>
  </si>
  <si>
    <t xml:space="preserve">Prospects that match the ideal customer profile (%, maximize)</t>
  </si>
  <si>
    <t xml:space="preserve">Customer relationship management system; data provider; Sales advisor agent</t>
  </si>
  <si>
    <t xml:space="preserve">Marketing (marketing-qualified leads, → PX-3.3.4.a); Brokers and partners (referrals, → PX-3.5.5.a)</t>
  </si>
  <si>
    <t xml:space="preserve">Marketing-qualified leads; partner referrals; prospect list</t>
  </si>
  <si>
    <t xml:space="preserve">Assigned lead</t>
  </si>
  <si>
    <t xml:space="preserve">Sales representative; → 3.5.1.3</t>
  </si>
  <si>
    <t xml:space="preserve">Lead response time (hours, minimize)</t>
  </si>
  <si>
    <t xml:space="preserve">Marketing automation; workflow automation</t>
  </si>
  <si>
    <t xml:space="preserve">→ 3.5.1.2; → 3.5.1.8.3</t>
  </si>
  <si>
    <t xml:space="preserve">Assigned lead; discovery notes</t>
  </si>
  <si>
    <t xml:space="preserve">Sales representative; lead scoring model</t>
  </si>
  <si>
    <t xml:space="preserve">Qualified opportunity, or rejected lead with reason</t>
  </si>
  <si>
    <t xml:space="preserve">Sales manager; Marketing (rejection feedback)</t>
  </si>
  <si>
    <t xml:space="preserve">Lead-to-opportunity conversion (%, maximize)</t>
  </si>
  <si>
    <t xml:space="preserve">Lead scoring model; customer relationship management system</t>
  </si>
  <si>
    <t xml:space="preserve">Prospect (current practices, claims, payroll tax status)</t>
  </si>
  <si>
    <t xml:space="preserve">Employer practices information</t>
  </si>
  <si>
    <t xml:space="preserve">Employer liability summary</t>
  </si>
  <si>
    <t xml:space="preserve">→ 3.5.1.4; Pricing and contracts (underwriting)</t>
  </si>
  <si>
    <t xml:space="preserve">Qualified opportunities with a liability review (%, maximize)</t>
  </si>
  <si>
    <t xml:space="preserve">Sales advisor agent</t>
  </si>
  <si>
    <t xml:space="preserve">→ 3.5.1.3; Pricing and contracts (risk appetite)</t>
  </si>
  <si>
    <t xml:space="preserve">Qualified opportunity; ideal customer profile; risk appetite guidelines</t>
  </si>
  <si>
    <t xml:space="preserve">Sales manager</t>
  </si>
  <si>
    <t xml:space="preserve">Pursue or decline decision</t>
  </si>
  <si>
    <t xml:space="preserve">Opportunities declined after a proposal (%, minimize)</t>
  </si>
  <si>
    <t xml:space="preserve">Marketing (competitive intelligence); → 3.5.1.4</t>
  </si>
  <si>
    <t xml:space="preserve">Qualified opportunity; buying committee map; competitive intelligence</t>
  </si>
  <si>
    <t xml:space="preserve">Opportunity win plan</t>
  </si>
  <si>
    <t xml:space="preserve">Sales manager; → 3.5.1.7</t>
  </si>
  <si>
    <t xml:space="preserve">Opportunities above threshold with a win plan (%, maximize)</t>
  </si>
  <si>
    <t xml:space="preserve">Sales representatives</t>
  </si>
  <si>
    <t xml:space="preserve">Open opportunities; win plans</t>
  </si>
  <si>
    <t xml:space="preserve">Pipeline review (stage, worksite employees, close date)</t>
  </si>
  <si>
    <t xml:space="preserve">→ 3.4.1.1; Sales executive</t>
  </si>
  <si>
    <t xml:space="preserve">Pipeline coverage (pipeline ÷ quota worksite employees, maximize)</t>
  </si>
  <si>
    <t xml:space="preserve">→ 3.5.1.6; → 3.4.4</t>
  </si>
  <si>
    <t xml:space="preserve">Pipeline review; territory plan</t>
  </si>
  <si>
    <t xml:space="preserve">Resource assignments (seller, specialist, underwriter)</t>
  </si>
  <si>
    <t xml:space="preserve">Sales representatives; specialists</t>
  </si>
  <si>
    <t xml:space="preserve">Opportunities with specialists assigned by Evaluate (%, maximize)</t>
  </si>
  <si>
    <t xml:space="preserve">→ 3.5.1.1</t>
  </si>
  <si>
    <t xml:space="preserve">Prospect list; outreach cadence</t>
  </si>
  <si>
    <t xml:space="preserve">Booked meeting; contact log</t>
  </si>
  <si>
    <t xml:space="preserve">Prospect</t>
  </si>
  <si>
    <t xml:space="preserve">Meetings booked per 100 contacts (count, maximize)</t>
  </si>
  <si>
    <t xml:space="preserve">Sales engagement system</t>
  </si>
  <si>
    <t xml:space="preserve">→ PX-3.5.1.8.a</t>
  </si>
  <si>
    <t xml:space="preserve">Jobs and needs record</t>
  </si>
  <si>
    <t xml:space="preserve">Tailored demonstration</t>
  </si>
  <si>
    <t xml:space="preserve">Demonstrations followed by a census request (%, maximize)</t>
  </si>
  <si>
    <t xml:space="preserve">Meeting agenda; account research</t>
  </si>
  <si>
    <t xml:space="preserve">Discovery notes</t>
  </si>
  <si>
    <t xml:space="preserve">→ 3.5.1.3; → PX-3.5.1.8.a</t>
  </si>
  <si>
    <t xml:space="preserve">Days from first meeting to qualification (days, minimize)</t>
  </si>
  <si>
    <t xml:space="preserve">→ 3.5.1.8.3</t>
  </si>
  <si>
    <t xml:space="preserve">→ 3.5.3.2; Marketing</t>
  </si>
  <si>
    <t xml:space="preserve">Opportunities with jobs and needs captured (%, maximize)</t>
  </si>
  <si>
    <t xml:space="preserve">Prospect (objections)</t>
  </si>
  <si>
    <t xml:space="preserve">Objections; competitive positioning</t>
  </si>
  <si>
    <t xml:space="preserve">Answered objections</t>
  </si>
  <si>
    <t xml:space="preserve">Opportunities lost to an unanswered objection (%, minimize)</t>
  </si>
  <si>
    <t xml:space="preserve">Prospect; Pricing and contracts (approved terms)</t>
  </si>
  <si>
    <t xml:space="preserve">Approved proposal; buyer requests</t>
  </si>
  <si>
    <t xml:space="preserve">Agreed terms</t>
  </si>
  <si>
    <t xml:space="preserve">→ 3.5.1.8.4</t>
  </si>
  <si>
    <t xml:space="preserve">Days from proposal to agreed terms (days, minimize)</t>
  </si>
  <si>
    <t xml:space="preserve">Contract management system</t>
  </si>
  <si>
    <t xml:space="preserve">Legal (approved agreement); → PX-3.5.1.8.c</t>
  </si>
  <si>
    <t xml:space="preserve">Agreed terms; client service agreement</t>
  </si>
  <si>
    <t xml:space="preserve">Signed client service agreement</t>
  </si>
  <si>
    <t xml:space="preserve">→ 3.5.4.1; Prospect (now client)</t>
  </si>
  <si>
    <t xml:space="preserve">Win rate (% of proposals, maximize)</t>
  </si>
  <si>
    <t xml:space="preserve">→ 3.5.1.8.4; → 3.5.3.15</t>
  </si>
  <si>
    <t xml:space="preserve">Signed agreement or loss reason</t>
  </si>
  <si>
    <t xml:space="preserve">Win-loss record</t>
  </si>
  <si>
    <t xml:space="preserve">Closed opportunities with a reason recorded (%, maximize)</t>
  </si>
  <si>
    <t xml:space="preserve">Prospect (handbook, policies, records)</t>
  </si>
  <si>
    <t xml:space="preserve">Employee handbook; policies; employee records</t>
  </si>
  <si>
    <t xml:space="preserve">Policy and records map</t>
  </si>
  <si>
    <t xml:space="preserve">→ PX-05.2; Customer success</t>
  </si>
  <si>
    <t xml:space="preserve">Policies mapped before signature (%, maximize)</t>
  </si>
  <si>
    <t xml:space="preserve">→ PX-05.1</t>
  </si>
  <si>
    <t xml:space="preserve">Policy and records map; start date</t>
  </si>
  <si>
    <t xml:space="preserve">Sales representative with the buyer</t>
  </si>
  <si>
    <t xml:space="preserve">Employee transition communication plan</t>
  </si>
  <si>
    <t xml:space="preserve">Prospect; → 3.5.4.4; → PX-3.5.4.a</t>
  </si>
  <si>
    <t xml:space="preserve">Transition plans agreed before signature (%, maximize)</t>
  </si>
  <si>
    <t xml:space="preserve">Customer success (client health)</t>
  </si>
  <si>
    <t xml:space="preserve">Client list; worksite employees; client health</t>
  </si>
  <si>
    <t xml:space="preserve">Key account list</t>
  </si>
  <si>
    <t xml:space="preserve">→ 3.5.2.2</t>
  </si>
  <si>
    <t xml:space="preserve">Worksite employees in reviewed key accounts (%, maximize)</t>
  </si>
  <si>
    <t xml:space="preserve">→ 3.5.2.1</t>
  </si>
  <si>
    <t xml:space="preserve">Key account list; client jobs and needs</t>
  </si>
  <si>
    <t xml:space="preserve">Account representative</t>
  </si>
  <si>
    <t xml:space="preserve">Key account plan</t>
  </si>
  <si>
    <t xml:space="preserve">→ 3.5.2.3</t>
  </si>
  <si>
    <t xml:space="preserve">Key accounts with a current plan (%, maximize)</t>
  </si>
  <si>
    <t xml:space="preserve">Plan updates; expansion opportunities</t>
  </si>
  <si>
    <t xml:space="preserve">→ 3.5.4.6; Sales manager</t>
  </si>
  <si>
    <t xml:space="preserve">Expansion worksite employees per key account (count, maximize)</t>
  </si>
  <si>
    <t xml:space="preserve">Customer success (service issues)</t>
  </si>
  <si>
    <t xml:space="preserve">Key account plan; service issues</t>
  </si>
  <si>
    <t xml:space="preserve">Relationship touchpoints</t>
  </si>
  <si>
    <t xml:space="preserve">Client</t>
  </si>
  <si>
    <t xml:space="preserve">Executive contacts per key account per quarter (count, maximize)</t>
  </si>
  <si>
    <t xml:space="preserve">Marketing; data provider; Sales representatives</t>
  </si>
  <si>
    <t xml:space="preserve">Account and contact records</t>
  </si>
  <si>
    <t xml:space="preserve">Merged customer records</t>
  </si>
  <si>
    <t xml:space="preserve">→ 3.5.2.5.2</t>
  </si>
  <si>
    <t xml:space="preserve">Records enriched from third-party data (%, maximize)</t>
  </si>
  <si>
    <t xml:space="preserve">Data quality tool</t>
  </si>
  <si>
    <t xml:space="preserve">→ 3.5.2.5.1</t>
  </si>
  <si>
    <t xml:space="preserve">Data steward; data quality tool</t>
  </si>
  <si>
    <t xml:space="preserve">Deduplicated customer master data</t>
  </si>
  <si>
    <t xml:space="preserve">Sales; Marketing; Customer success</t>
  </si>
  <si>
    <t xml:space="preserve">Duplicate account rate (%, minimize)</t>
  </si>
  <si>
    <t xml:space="preserve">Broker or prospect</t>
  </si>
  <si>
    <t xml:space="preserve">Request for proposal or quote</t>
  </si>
  <si>
    <t xml:space="preserve">Logged request</t>
  </si>
  <si>
    <t xml:space="preserve">→ 3.5.3.3</t>
  </si>
  <si>
    <t xml:space="preserve">Request acknowledged within one business day (%, maximize)</t>
  </si>
  <si>
    <t xml:space="preserve">→ 3.5.3.1; → PX-3.5.1.8.a</t>
  </si>
  <si>
    <t xml:space="preserve">Request; jobs and needs record</t>
  </si>
  <si>
    <t xml:space="preserve">Requirements summary</t>
  </si>
  <si>
    <t xml:space="preserve">→ 3.5.3.6</t>
  </si>
  <si>
    <t xml:space="preserve">Requirements confirmed by the buyer (%, maximize)</t>
  </si>
  <si>
    <t xml:space="preserve">→ 3.5.3.1</t>
  </si>
  <si>
    <t xml:space="preserve">Logged request; requirements summary</t>
  </si>
  <si>
    <t xml:space="preserve">Bid or no-bid decision</t>
  </si>
  <si>
    <t xml:space="preserve">Days to bid decision (days, minimize)</t>
  </si>
  <si>
    <t xml:space="preserve">Marketing (competitive intelligence)</t>
  </si>
  <si>
    <t xml:space="preserve">Competitor profiles; incumbent provider</t>
  </si>
  <si>
    <t xml:space="preserve">Competitive positioning</t>
  </si>
  <si>
    <t xml:space="preserve">→ 3.5.3.7; → PX-3.5.1.8.b</t>
  </si>
  <si>
    <t xml:space="preserve">Win rate against named competitors (%, maximize)</t>
  </si>
  <si>
    <t xml:space="preserve">Sales advisor agent; content library</t>
  </si>
  <si>
    <t xml:space="preserve">→ 3.5.3.3; Pricing and contracts (guidelines)</t>
  </si>
  <si>
    <t xml:space="preserve">Bid decision; ideal customer profile; pricing guidelines</t>
  </si>
  <si>
    <t xml:space="preserve">Validated pursuit</t>
  </si>
  <si>
    <t xml:space="preserve">→ 3.5.3.7</t>
  </si>
  <si>
    <t xml:space="preserve">Proposals outside guidelines (%, minimize)</t>
  </si>
  <si>
    <t xml:space="preserve">→ 3.5.3.2; → PX-01.2; → PX-02.1; → PX-03.1</t>
  </si>
  <si>
    <t xml:space="preserve">Requirements summary; census; current cost report; current benefits report</t>
  </si>
  <si>
    <t xml:space="preserve">Solution requirements</t>
  </si>
  <si>
    <t xml:space="preserve">Proposals started with a validated census (%, maximize)</t>
  </si>
  <si>
    <t xml:space="preserve">→ 3.5.3.6; → PX-02.3; → PX-03.2; → 3.5.3.4</t>
  </si>
  <si>
    <t xml:space="preserve">Solution requirements; cost comparison; benefits comparison report; competitive positioning</t>
  </si>
  <si>
    <t xml:space="preserve">Proposed solution (services, plans, service model)</t>
  </si>
  <si>
    <t xml:space="preserve">→ 3.5.3.8; → PX-04.1</t>
  </si>
  <si>
    <t xml:space="preserve">Solution revisions per proposal (count, minimize)</t>
  </si>
  <si>
    <t xml:space="preserve">Proposal generator</t>
  </si>
  <si>
    <t xml:space="preserve">Proposed solution</t>
  </si>
  <si>
    <t xml:space="preserve">Sales representative with Customer success</t>
  </si>
  <si>
    <t xml:space="preserve">Service team plan</t>
  </si>
  <si>
    <t xml:space="preserve">Customer success; → 3.5.3.13</t>
  </si>
  <si>
    <t xml:space="preserve">Proposals naming the service team (%, maximize)</t>
  </si>
  <si>
    <t xml:space="preserve">Pricing and contracts (→ PX-04.3)</t>
  </si>
  <si>
    <t xml:space="preserve">Proposed solution; binding quote</t>
  </si>
  <si>
    <t xml:space="preserve">Priced proposal</t>
  </si>
  <si>
    <t xml:space="preserve">→ 3.5.3.11</t>
  </si>
  <si>
    <t xml:space="preserve">Days from validated census to binding quote (days, minimize)</t>
  </si>
  <si>
    <t xml:space="preserve">Rating engine; proposal generator</t>
  </si>
  <si>
    <t xml:space="preserve">Legal (disclosure review)</t>
  </si>
  <si>
    <t xml:space="preserve">Sales manager; counsel</t>
  </si>
  <si>
    <t xml:space="preserve">Reviewed proposal</t>
  </si>
  <si>
    <t xml:space="preserve">→ 3.5.3.12</t>
  </si>
  <si>
    <t xml:space="preserve">Review cycle time (days, minimize)</t>
  </si>
  <si>
    <t xml:space="preserve">Approval workflow; clause library</t>
  </si>
  <si>
    <t xml:space="preserve">Pricing and contracts (pricing review board)</t>
  </si>
  <si>
    <t xml:space="preserve">Reviewed proposal; pricing exceptions</t>
  </si>
  <si>
    <t xml:space="preserve">Sales manager; pricing review board</t>
  </si>
  <si>
    <t xml:space="preserve">Approved proposal</t>
  </si>
  <si>
    <t xml:space="preserve">→ 3.5.3.13; → PX-3.5.1.8.c</t>
  </si>
  <si>
    <t xml:space="preserve">Approval cycle time (days, minimize)</t>
  </si>
  <si>
    <t xml:space="preserve">Approved proposal; cost comparison; benefits comparison report</t>
  </si>
  <si>
    <t xml:space="preserve">Presented proposal</t>
  </si>
  <si>
    <t xml:space="preserve">Prospect; broker</t>
  </si>
  <si>
    <t xml:space="preserve">Days from validated census to proposal presented (days, minimize)</t>
  </si>
  <si>
    <t xml:space="preserve">Prospect or broker (feedback)</t>
  </si>
  <si>
    <t xml:space="preserve">Buyer feedback; presented proposal</t>
  </si>
  <si>
    <t xml:space="preserve">Revised proposal</t>
  </si>
  <si>
    <t xml:space="preserve">Revisions per opportunity (count, minimize)</t>
  </si>
  <si>
    <t xml:space="preserve">Prospect or broker (decision)</t>
  </si>
  <si>
    <t xml:space="preserve">Buyer decision</t>
  </si>
  <si>
    <t xml:space="preserve">Outcome record</t>
  </si>
  <si>
    <t xml:space="preserve">→ 3.5.1.8.5; Marketing</t>
  </si>
  <si>
    <t xml:space="preserve">Outcomes recorded within two business days (%, maximize)</t>
  </si>
  <si>
    <t xml:space="preserve">—</t>
  </si>
  <si>
    <t xml:space="preserve">Sales organization (manual)</t>
  </si>
  <si>
    <t xml:space="preserve">Census template</t>
  </si>
  <si>
    <t xml:space="preserve">Prospect role (outside)</t>
  </si>
  <si>
    <t xml:space="preserve">Census turnaround time (days, minimize)</t>
  </si>
  <si>
    <t xml:space="preserve">Yes</t>
  </si>
  <si>
    <t xml:space="preserve">Census</t>
  </si>
  <si>
    <t xml:space="preserve">Sales advisor agent (automated)</t>
  </si>
  <si>
    <t xml:space="preserve">Census (validated); census validation report</t>
  </si>
  <si>
    <t xml:space="preserve">Prospect role (outside); → PX-02.1; → PX-02.2; → PX-03.1; → PX-03.2</t>
  </si>
  <si>
    <t xml:space="preserve">Census validation failure rate (% of censuses, minimize)</t>
  </si>
  <si>
    <t xml:space="preserve">Prospect role (outside); → PX-01.2</t>
  </si>
  <si>
    <t xml:space="preserve">Census; current cost documents</t>
  </si>
  <si>
    <t xml:space="preserve">Sales organization; Sales advisor agent (hybrid)</t>
  </si>
  <si>
    <t xml:space="preserve">Current cost report</t>
  </si>
  <si>
    <t xml:space="preserve">→ PX-02.2; → PX-02.3</t>
  </si>
  <si>
    <t xml:space="preserve">Current cost report completeness (% of lines citing a source, maximize)</t>
  </si>
  <si>
    <t xml:space="preserve">→ PX-01.2; → PX-02.1</t>
  </si>
  <si>
    <t xml:space="preserve">Census; current cost report</t>
  </si>
  <si>
    <t xml:space="preserve">Workforce cost forecast</t>
  </si>
  <si>
    <t xml:space="preserve">→ PX-02.3</t>
  </si>
  <si>
    <t xml:space="preserve">Forecast turnaround time (minutes, minimize)</t>
  </si>
  <si>
    <t xml:space="preserve">→ PX-02.1; → PX-02.2</t>
  </si>
  <si>
    <t xml:space="preserve">Current cost report; workforce cost forecast</t>
  </si>
  <si>
    <t xml:space="preserve">Cost comparison</t>
  </si>
  <si>
    <t xml:space="preserve">Prospect role (outside); → 3.5.3.7</t>
  </si>
  <si>
    <t xml:space="preserve">Time to cost comparison (days, minimize)</t>
  </si>
  <si>
    <t xml:space="preserve">Prospect role, Broker role (outside); → PX-01.2</t>
  </si>
  <si>
    <t xml:space="preserve">Census; current plan documents</t>
  </si>
  <si>
    <t xml:space="preserve">Current benefits report</t>
  </si>
  <si>
    <t xml:space="preserve">→ PX-03.2</t>
  </si>
  <si>
    <t xml:space="preserve">Plan document completeness (% of plans, maximize)</t>
  </si>
  <si>
    <t xml:space="preserve">→ PX-01.2; → PX-03.1</t>
  </si>
  <si>
    <t xml:space="preserve">Census; current benefits report</t>
  </si>
  <si>
    <t xml:space="preserve">Benefits comparison report</t>
  </si>
  <si>
    <t xml:space="preserve">Plan comparison time (minutes, minimize)</t>
  </si>
  <si>
    <t xml:space="preserve">Validated booking</t>
  </si>
  <si>
    <t xml:space="preserve">→ 3.5.4.2</t>
  </si>
  <si>
    <t xml:space="preserve">Bookings returned for correction (%, minimize)</t>
  </si>
  <si>
    <t xml:space="preserve">→ 3.5.4.1</t>
  </si>
  <si>
    <t xml:space="preserve">Client details from the agreement</t>
  </si>
  <si>
    <t xml:space="preserve">Client account record</t>
  </si>
  <si>
    <t xml:space="preserve">Customer success; → 3.5.4.4</t>
  </si>
  <si>
    <t xml:space="preserve">Accounts complete at booking (%, maximize)</t>
  </si>
  <si>
    <t xml:space="preserve">→ 3.5.4.2; → PX-05.2</t>
  </si>
  <si>
    <t xml:space="preserve">Client account record; transition plan</t>
  </si>
  <si>
    <t xml:space="preserve">Sales operations analyst with Customer success</t>
  </si>
  <si>
    <t xml:space="preserve">Implementation path (service model, start date, payroll cycle)</t>
  </si>
  <si>
    <t xml:space="preserve">Bookings with a first payroll date (%, maximize)</t>
  </si>
  <si>
    <t xml:space="preserve">→ 3.5.4.4</t>
  </si>
  <si>
    <t xml:space="preserve">Validated booking; implementation path</t>
  </si>
  <si>
    <t xml:space="preserve">Booking</t>
  </si>
  <si>
    <t xml:space="preserve">Finance; → PX-06.1; → PX-3.5.4.a</t>
  </si>
  <si>
    <t xml:space="preserve">Days from signature to booking (days, minimize)</t>
  </si>
  <si>
    <t xml:space="preserve">→ 3.5.4.5; → 3.5.2.3</t>
  </si>
  <si>
    <t xml:space="preserve">Booking; key account plan</t>
  </si>
  <si>
    <t xml:space="preserve">Account representative; Sales advisor agent</t>
  </si>
  <si>
    <t xml:space="preserve">Expansion opportunity</t>
  </si>
  <si>
    <t xml:space="preserve">→ 3.5.1.3</t>
  </si>
  <si>
    <t xml:space="preserve">Clients taking an add-on service in the first year (%, maximize)</t>
  </si>
  <si>
    <t xml:space="preserve">Client (inquiry)</t>
  </si>
  <si>
    <t xml:space="preserve">Inquiry about the agreement or booking</t>
  </si>
  <si>
    <t xml:space="preserve">Answered inquiry</t>
  </si>
  <si>
    <t xml:space="preserve">Inquiry resolution time (days, minimize)</t>
  </si>
  <si>
    <t xml:space="preserve">Case management</t>
  </si>
  <si>
    <t xml:space="preserve">→ 3.5.4.5; → PX-05.2; → PX-3.5.1.8.a</t>
  </si>
  <si>
    <t xml:space="preserve">Booking; transition plan; jobs and needs record</t>
  </si>
  <si>
    <t xml:space="preserve">Handoff package</t>
  </si>
  <si>
    <t xml:space="preserve">Customer success (client success manager)</t>
  </si>
  <si>
    <t xml:space="preserve">Handoffs accepted without rework (%, maximize)</t>
  </si>
  <si>
    <t xml:space="preserve">→ 3.5.4.5; → 3.4.4</t>
  </si>
  <si>
    <t xml:space="preserve">Bookings; incentive plan; quotas</t>
  </si>
  <si>
    <t xml:space="preserve">Sales operations analyst; incentive compensation system</t>
  </si>
  <si>
    <t xml:space="preserve">Commission statement</t>
  </si>
  <si>
    <t xml:space="preserve">Sales representatives; Finance</t>
  </si>
  <si>
    <t xml:space="preserve">Statements issued without correction (%, maximize)</t>
  </si>
  <si>
    <t xml:space="preserve">Sales representative (dispute)</t>
  </si>
  <si>
    <t xml:space="preserve">Dispute; commission statement</t>
  </si>
  <si>
    <t xml:space="preserve">Dispute resolution</t>
  </si>
  <si>
    <t xml:space="preserve">Dispute resolution time (days, minimize)</t>
  </si>
  <si>
    <t xml:space="preserve">Marketing (content); Human resources (onboarding)</t>
  </si>
  <si>
    <t xml:space="preserve">Curriculum; offering content</t>
  </si>
  <si>
    <t xml:space="preserve">Trained seller</t>
  </si>
  <si>
    <t xml:space="preserve">→ PX-07.2; Sales manager</t>
  </si>
  <si>
    <t xml:space="preserve">Days from hire to first qualified opportunity (days, minimize)</t>
  </si>
  <si>
    <t xml:space="preserve">→ PX-07.1</t>
  </si>
  <si>
    <t xml:space="preserve">Trained seller; certification assessments</t>
  </si>
  <si>
    <t xml:space="preserve">Certified seller</t>
  </si>
  <si>
    <t xml:space="preserve">Sellers certified on every offering they sell (%, maximize)</t>
  </si>
  <si>
    <t xml:space="preserve">Previous ID</t>
  </si>
  <si>
    <t xml:space="preserve">Previous name</t>
  </si>
  <si>
    <t xml:space="preserve">Was</t>
  </si>
  <si>
    <t xml:space="preserve">Is now</t>
  </si>
  <si>
    <t xml:space="preserve">New ID or reference</t>
  </si>
  <si>
    <t xml:space="preserve">Why</t>
  </si>
  <si>
    <t xml:space="preserve">Kept.</t>
  </si>
  <si>
    <t xml:space="preserve">Kept; in the Sales assembly 0.3.0.</t>
  </si>
  <si>
    <t xml:space="preserve">Product demonstration</t>
  </si>
  <si>
    <t xml:space="preserve">Renamed Solution demonstration: the platform and the service model are demonstrated, not a product.</t>
  </si>
  <si>
    <t xml:space="preserve">Proposal service</t>
  </si>
  <si>
    <t xml:space="preserve">Renamed Proposal and quote; enabled by APQC 3.5.3.</t>
  </si>
  <si>
    <t xml:space="preserve">Transition planning</t>
  </si>
  <si>
    <t xml:space="preserve">Kept, enabled by the PEO extension process PX-05.</t>
  </si>
  <si>
    <t xml:space="preserve">SV-10</t>
  </si>
  <si>
    <t xml:space="preserve">Lead routing and assignment</t>
  </si>
  <si>
    <t xml:space="preserve">Routing is a step of 3.5.1 Manage leads/opportunities; the service is Lead management (SV-O01).</t>
  </si>
  <si>
    <t xml:space="preserve">SV-11</t>
  </si>
  <si>
    <t xml:space="preserve">Lead and opportunity scoring</t>
  </si>
  <si>
    <t xml:space="preserve">Asset + step</t>
  </si>
  <si>
    <t xml:space="preserve">The scoring model is an asset that performs part of 3.5.1.3; merged into Lead management (SV-O01).</t>
  </si>
  <si>
    <t xml:space="preserve">SV-12</t>
  </si>
  <si>
    <t xml:space="preserve">Pipeline management</t>
  </si>
  <si>
    <t xml:space="preserve">Managing the pipeline is APQC 3.5.1.6; what sales leaders receive is Pipeline and forecast reporting (SV-O02).</t>
  </si>
  <si>
    <t xml:space="preserve">SV-13</t>
  </si>
  <si>
    <t xml:space="preserve">Sales forecasting</t>
  </si>
  <si>
    <t xml:space="preserve">Forecasting is APQC process 3.4.1; merged into Pipeline and forecast reporting (SV-O02).</t>
  </si>
  <si>
    <t xml:space="preserve">Territory and quota planning</t>
  </si>
  <si>
    <t xml:space="preserve">Broadened to Sales goals, territories and quotas (APQC 3.4.3–3.4.5).</t>
  </si>
  <si>
    <t xml:space="preserve">Sales incentive and commission calculation</t>
  </si>
  <si>
    <t xml:space="preserve">Kept as Sales incentive compensation; enabled by PX-06 (outside category 3.0).</t>
  </si>
  <si>
    <t xml:space="preserve">Booking and order entry</t>
  </si>
  <si>
    <t xml:space="preserve">Renamed Booking administration; order entry is the step 3.5.4.5.</t>
  </si>
  <si>
    <t xml:space="preserve">SV-17</t>
  </si>
  <si>
    <t xml:space="preserve">Sales engagement automation</t>
  </si>
  <si>
    <t xml:space="preserve">Asset</t>
  </si>
  <si>
    <t xml:space="preserve">A system that performs part of 3.5.1.8.1 Perform sales calls; listed as a supporting asset on Process SIPOCM.</t>
  </si>
  <si>
    <t xml:space="preserve">Customer relationship management data steward</t>
  </si>
  <si>
    <t xml:space="preserve">Renamed Customer data stewardship (the steward is the performer, not the service).</t>
  </si>
  <si>
    <t xml:space="preserve">Sales enablement and training</t>
  </si>
  <si>
    <t xml:space="preserve">Renamed Seller training and certification.</t>
  </si>
  <si>
    <t xml:space="preserve">An agent is an asset that performs steps. The service it helps deliver to sellers is Opportunity win planning (SV-E02).</t>
  </si>
  <si>
    <t xml:space="preserve">Marketing lead handoff</t>
  </si>
  <si>
    <t xml:space="preserve">A handoff is a step; the service Marketing provides is Lead generation (SV-S01).</t>
  </si>
  <si>
    <t xml:space="preserve">Competitive intelligence</t>
  </si>
  <si>
    <t xml:space="preserve">SV-S02; SV-E03</t>
  </si>
  <si>
    <t xml:space="preserve">Split: the research (SV-S02) and the seller-ready positioning (SV-E03).</t>
  </si>
  <si>
    <t xml:space="preserve">SV-32</t>
  </si>
  <si>
    <t xml:space="preserve">Census intake</t>
  </si>
  <si>
    <t xml:space="preserve">Census collection is a Sales process (D22, D24) that enables SV-B02, SV-B03 and SV-S04.</t>
  </si>
  <si>
    <t xml:space="preserve">SV-33</t>
  </si>
  <si>
    <t xml:space="preserve">Kept; enabled by PX-04.</t>
  </si>
  <si>
    <t xml:space="preserve">Pricing review</t>
  </si>
  <si>
    <t xml:space="preserve">Renamed Pricing exception review (APQC 3.5.3.12 Manage internal approvals).</t>
  </si>
  <si>
    <t xml:space="preserve">Contract generation and signature</t>
  </si>
  <si>
    <t xml:space="preserve">Process step + asset</t>
  </si>
  <si>
    <t xml:space="preserve">Signature is the step 3.5.1.8.4 performed with the contract management system (asset); the buyer-facing service is Client service agreement execution (SV-B07).</t>
  </si>
  <si>
    <t xml:space="preserve">Partner opportunity registration</t>
  </si>
  <si>
    <t xml:space="preserve">Registration is a step; the service is Broker and partner sales support (SV-S07).</t>
  </si>
  <si>
    <t xml:space="preserve">Client implementation intake</t>
  </si>
  <si>
    <t xml:space="preserve">Intake is the handoff step; the service Customer success provides is Client implementation (SV-S08).</t>
  </si>
  <si>
    <t xml:space="preserve">SP-00</t>
  </si>
  <si>
    <t xml:space="preserve">Selling process</t>
  </si>
  <si>
    <t xml:space="preserve">Replaced by the APQC hierarchy: 3.4 Develop sales strategy and 3.5 Develop and manage sales plans.</t>
  </si>
  <si>
    <t xml:space="preserve">SP-10…SP-60</t>
  </si>
  <si>
    <t xml:space="preserve">Discover, Qualify, Evaluate, Propose, Decide, Onboard</t>
  </si>
  <si>
    <t xml:space="preserve">Attribute</t>
  </si>
  <si>
    <t xml:space="preserve">Selling stage column</t>
  </si>
  <si>
    <t xml:space="preserve">Stages are the provider's view of the buyer's journey (Baseline 21), kept as an attribute of each step, not as processes.</t>
  </si>
  <si>
    <t xml:space="preserve">SP-11</t>
  </si>
  <si>
    <t xml:space="preserve">Prospecting</t>
  </si>
  <si>
    <t xml:space="preserve">Selling step</t>
  </si>
  <si>
    <t xml:space="preserve">SP-12</t>
  </si>
  <si>
    <t xml:space="preserve">Outreach</t>
  </si>
  <si>
    <t xml:space="preserve">SP-13</t>
  </si>
  <si>
    <t xml:space="preserve">Lead acceptance</t>
  </si>
  <si>
    <t xml:space="preserve">SP-14</t>
  </si>
  <si>
    <t xml:space="preserve">Discovery meeting</t>
  </si>
  <si>
    <t xml:space="preserve">SP-15</t>
  </si>
  <si>
    <t xml:space="preserve">Jobs and needs capture</t>
  </si>
  <si>
    <t xml:space="preserve">Process step (task)</t>
  </si>
  <si>
    <t xml:space="preserve">PEO extension; links to the value map.</t>
  </si>
  <si>
    <t xml:space="preserve">SP-21</t>
  </si>
  <si>
    <t xml:space="preserve">Opportunity qualification</t>
  </si>
  <si>
    <t xml:space="preserve">SP-22</t>
  </si>
  <si>
    <t xml:space="preserve">Employer liability review</t>
  </si>
  <si>
    <t xml:space="preserve">PEO extension.</t>
  </si>
  <si>
    <t xml:space="preserve">SP-23</t>
  </si>
  <si>
    <t xml:space="preserve">Opportunity creation</t>
  </si>
  <si>
    <t xml:space="preserve">Output</t>
  </si>
  <si>
    <t xml:space="preserve">Creating the opportunity is the output of qualification.</t>
  </si>
  <si>
    <t xml:space="preserve">SP-31</t>
  </si>
  <si>
    <t xml:space="preserve">Demonstration</t>
  </si>
  <si>
    <t xml:space="preserve">SP-32</t>
  </si>
  <si>
    <t xml:space="preserve">Now a process of two steps (Sales assembly 0.3.0).</t>
  </si>
  <si>
    <t xml:space="preserve">SP-33</t>
  </si>
  <si>
    <t xml:space="preserve">Total cost of employment comparison</t>
  </si>
  <si>
    <t xml:space="preserve">Now a process of three steps (Sales assembly 0.3.0).</t>
  </si>
  <si>
    <t xml:space="preserve">SP-34</t>
  </si>
  <si>
    <t xml:space="preserve">Benefits plan comparison</t>
  </si>
  <si>
    <t xml:space="preserve">SP-35</t>
  </si>
  <si>
    <t xml:space="preserve">SP-41</t>
  </si>
  <si>
    <t xml:space="preserve">Quote request</t>
  </si>
  <si>
    <t xml:space="preserve">Step of Underwriting and quoting (Pricing and contracts).</t>
  </si>
  <si>
    <t xml:space="preserve">SP-42</t>
  </si>
  <si>
    <t xml:space="preserve">Proposal preparation</t>
  </si>
  <si>
    <t xml:space="preserve">SP-43</t>
  </si>
  <si>
    <t xml:space="preserve">Proposal presentation</t>
  </si>
  <si>
    <t xml:space="preserve">SP-44</t>
  </si>
  <si>
    <t xml:space="preserve">Policy and records mapping</t>
  </si>
  <si>
    <t xml:space="preserve">SP-51</t>
  </si>
  <si>
    <t xml:space="preserve">Objection handling</t>
  </si>
  <si>
    <t xml:space="preserve">SP-52</t>
  </si>
  <si>
    <t xml:space="preserve">Business case for decision makers</t>
  </si>
  <si>
    <t xml:space="preserve">The business case is the cost comparison presented to owners and finance; part of SV-B02.</t>
  </si>
  <si>
    <t xml:space="preserve">SP-53</t>
  </si>
  <si>
    <t xml:space="preserve">Negotiation</t>
  </si>
  <si>
    <t xml:space="preserve">SP-54</t>
  </si>
  <si>
    <t xml:space="preserve">Pricing exception request</t>
  </si>
  <si>
    <t xml:space="preserve">SP-55</t>
  </si>
  <si>
    <t xml:space="preserve">Transition communication planning</t>
  </si>
  <si>
    <t xml:space="preserve">SP-56</t>
  </si>
  <si>
    <t xml:space="preserve">Agreement signature</t>
  </si>
  <si>
    <t xml:space="preserve">SP-57</t>
  </si>
  <si>
    <t xml:space="preserve">Win-loss capture</t>
  </si>
  <si>
    <t xml:space="preserve">SP-61</t>
  </si>
  <si>
    <t xml:space="preserve">Booking entry</t>
  </si>
  <si>
    <t xml:space="preserve">SP-62</t>
  </si>
  <si>
    <t xml:space="preserve">Client handoff</t>
  </si>
  <si>
    <t xml:space="preserve">Job steps, Measures sheets</t>
  </si>
  <si>
    <t xml:space="preserve">Buyer persona job steps and measures</t>
  </si>
  <si>
    <t xml:space="preserve">Moved</t>
  </si>
  <si>
    <t xml:space="preserve">Sales value map</t>
  </si>
  <si>
    <t xml:space="preserve">Personas, job steps and desired outcomes are a separate assembly (D24); this workbook covers services and processes only.</t>
  </si>
</sst>
</file>

<file path=xl/styles.xml><?xml version="1.0" encoding="utf-8"?>
<styleSheet xmlns="http://schemas.openxmlformats.org/spreadsheetml/2006/main">
  <numFmts count="2">
    <numFmt numFmtId="164" formatCode="General"/>
    <numFmt numFmtId="165" formatCode="General"/>
  </numFmts>
  <fonts count="9">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0"/>
      <name val="Arial"/>
      <family val="0"/>
      <charset val="1"/>
    </font>
    <font>
      <b val="true"/>
      <sz val="10"/>
      <color rgb="FFFFFFFF"/>
      <name val="Arial"/>
      <family val="0"/>
      <charset val="1"/>
    </font>
    <font>
      <sz val="10"/>
      <color rgb="FF8C8C8C"/>
      <name val="Arial"/>
      <family val="0"/>
      <charset val="1"/>
    </font>
  </fonts>
  <fills count="7">
    <fill>
      <patternFill patternType="none"/>
    </fill>
    <fill>
      <patternFill patternType="gray125"/>
    </fill>
    <fill>
      <patternFill patternType="solid">
        <fgColor rgb="FF1F3864"/>
        <bgColor rgb="FF333333"/>
      </patternFill>
    </fill>
    <fill>
      <patternFill patternType="solid">
        <fgColor rgb="FFD9E1F2"/>
        <bgColor rgb="FFC9D3F0"/>
      </patternFill>
    </fill>
    <fill>
      <patternFill patternType="solid">
        <fgColor rgb="FFEEF2F8"/>
        <bgColor rgb="FFE2F0D9"/>
      </patternFill>
    </fill>
    <fill>
      <patternFill patternType="solid">
        <fgColor rgb="FFFFF2CC"/>
        <bgColor rgb="FFFCE4E4"/>
      </patternFill>
    </fill>
    <fill>
      <patternFill patternType="solid">
        <fgColor rgb="FFE2F0D9"/>
        <bgColor rgb="FFEEF2F8"/>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general" vertical="center" textRotation="0" wrapText="true" indent="0" shrinkToFit="false"/>
      <protection locked="true" hidden="false"/>
    </xf>
    <xf numFmtId="164" fontId="6" fillId="3" borderId="0" xfId="0" applyFont="true" applyBorder="false" applyAlignment="true" applyProtection="false">
      <alignment horizontal="general" vertical="top" textRotation="0" wrapText="true" indent="0" shrinkToFit="false"/>
      <protection locked="true" hidden="false"/>
    </xf>
    <xf numFmtId="164" fontId="5" fillId="4" borderId="0" xfId="0" applyFont="true" applyBorder="false" applyAlignment="true" applyProtection="false">
      <alignment horizontal="general" vertical="top" textRotation="0" wrapText="true" indent="0" shrinkToFit="false"/>
      <protection locked="true" hidden="false"/>
    </xf>
    <xf numFmtId="164" fontId="6" fillId="4"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5" fillId="5" borderId="0" xfId="0" applyFont="true" applyBorder="false" applyAlignment="true" applyProtection="false">
      <alignment horizontal="general" vertical="top" textRotation="0" wrapText="true" indent="0" shrinkToFit="false"/>
      <protection locked="true" hidden="false"/>
    </xf>
    <xf numFmtId="164" fontId="8" fillId="4" borderId="0" xfId="0" applyFont="true" applyBorder="fals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left" vertical="bottom" textRotation="0" wrapText="true" indent="0" shrinkToFit="false"/>
      <protection locked="true" hidden="false"/>
    </xf>
    <xf numFmtId="164" fontId="7" fillId="2" borderId="0" xfId="0" applyFont="true" applyBorder="false" applyAlignment="true" applyProtection="false">
      <alignment horizontal="center" vertical="bottom" textRotation="0" wrapText="true" indent="0" shrinkToFit="false"/>
      <protection locked="true" hidden="false"/>
    </xf>
    <xf numFmtId="164" fontId="7" fillId="2" borderId="0" xfId="0" applyFont="true" applyBorder="false" applyAlignment="true" applyProtection="false">
      <alignment horizontal="center" vertical="bottom" textRotation="90" wrapText="true" indent="0" shrinkToFit="false"/>
      <protection locked="true" hidden="false"/>
    </xf>
    <xf numFmtId="164" fontId="5" fillId="0" borderId="0" xfId="0" applyFont="true" applyBorder="false" applyAlignment="true" applyProtection="false">
      <alignment horizontal="left" vertical="center" textRotation="0" wrapText="false" indent="0" shrinkToFit="false"/>
      <protection locked="true" hidden="false"/>
    </xf>
    <xf numFmtId="164" fontId="5" fillId="0" borderId="0" xfId="0" applyFont="true" applyBorder="false" applyAlignment="true" applyProtection="false">
      <alignment horizontal="left" vertical="center" textRotation="0" wrapText="true" indent="0" shrinkToFit="false"/>
      <protection locked="true" hidden="false"/>
    </xf>
    <xf numFmtId="164" fontId="5" fillId="0" borderId="0" xfId="0" applyFont="true" applyBorder="false" applyAlignment="true" applyProtection="false">
      <alignment horizontal="center" vertical="center" textRotation="0" wrapText="false" indent="0" shrinkToFit="false"/>
      <protection locked="true" hidden="false"/>
    </xf>
    <xf numFmtId="165" fontId="5" fillId="0" borderId="0" xfId="0" applyFont="true" applyBorder="false" applyAlignment="true" applyProtection="false">
      <alignment horizontal="center" vertical="center" textRotation="0" wrapText="false" indent="0" shrinkToFit="false"/>
      <protection locked="true" hidden="false"/>
    </xf>
    <xf numFmtId="164" fontId="6" fillId="0" borderId="0" xfId="0" applyFont="true" applyBorder="false" applyAlignment="true" applyProtection="false">
      <alignment horizontal="left" vertical="center" textRotation="0" wrapText="false" indent="0" shrinkToFit="false"/>
      <protection locked="true" hidden="false"/>
    </xf>
    <xf numFmtId="164" fontId="6" fillId="0" borderId="0" xfId="0" applyFont="true" applyBorder="false" applyAlignment="true" applyProtection="false">
      <alignment horizontal="left" vertical="center"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5" fillId="6" borderId="0" xfId="0" applyFont="true" applyBorder="false" applyAlignment="true" applyProtection="false">
      <alignment horizontal="general" vertical="top" textRotation="0" wrapText="true" indent="0" shrinkToFit="false"/>
      <protection locked="true" hidden="false"/>
    </xf>
    <xf numFmtId="164" fontId="6" fillId="6"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ill>
        <patternFill patternType="solid">
          <fgColor rgb="FF1F3864"/>
          <bgColor rgb="FF000000"/>
        </patternFill>
      </fill>
    </dxf>
    <dxf>
      <fill>
        <patternFill patternType="solid">
          <fgColor rgb="FFD9E1F2"/>
          <bgColor rgb="FF000000"/>
        </patternFill>
      </fill>
    </dxf>
    <dxf>
      <fill>
        <patternFill patternType="solid">
          <fgColor rgb="FFEEF2F8"/>
          <bgColor rgb="FF000000"/>
        </patternFill>
      </fill>
    </dxf>
    <dxf>
      <fill>
        <patternFill patternType="solid">
          <fgColor rgb="FFFFF2CC"/>
          <bgColor rgb="FF000000"/>
        </patternFill>
      </fill>
    </dxf>
    <dxf>
      <fill>
        <patternFill patternType="solid">
          <bgColor rgb="FF000000"/>
        </patternFill>
      </fill>
    </dxf>
    <dxf>
      <fill>
        <patternFill patternType="solid">
          <fgColor rgb="FF8C8C8C"/>
          <bgColor rgb="FF000000"/>
        </patternFill>
      </fill>
    </dxf>
    <dxf>
      <fill>
        <patternFill patternType="solid">
          <fgColor rgb="FFFFFFFF"/>
          <bgColor rgb="FF000000"/>
        </patternFill>
      </fill>
    </dxf>
    <dxf>
      <font>
        <name val="Arial"/>
        <charset val="1"/>
        <family val="0"/>
        <b val="1"/>
        <color rgb="FFFFFFFF"/>
      </font>
      <fill>
        <patternFill>
          <bgColor rgb="FF5B4BB7"/>
        </patternFill>
      </fill>
    </dxf>
    <dxf>
      <font>
        <name val="Arial"/>
        <charset val="1"/>
        <family val="0"/>
        <color rgb="FF1F3864"/>
      </font>
      <fill>
        <patternFill>
          <bgColor rgb="FFC9D3F0"/>
        </patternFill>
      </fill>
    </dxf>
    <dxf>
      <font>
        <name val="Arial"/>
        <charset val="1"/>
        <family val="0"/>
        <color rgb="FFC00000"/>
      </font>
      <fill>
        <patternFill>
          <bgColor rgb="FFFCE4E4"/>
        </patternFill>
      </fill>
    </dxf>
    <dxf>
      <fill>
        <patternFill patternType="solid">
          <fgColor rgb="FFE2F0D9"/>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EEF2F8"/>
      <rgbColor rgb="FF660066"/>
      <rgbColor rgb="FFFF8080"/>
      <rgbColor rgb="FF0066CC"/>
      <rgbColor rgb="FFC9D3F0"/>
      <rgbColor rgb="FF000080"/>
      <rgbColor rgb="FFFF00FF"/>
      <rgbColor rgb="FFFFFF00"/>
      <rgbColor rgb="FF00FFFF"/>
      <rgbColor rgb="FF800080"/>
      <rgbColor rgb="FF800000"/>
      <rgbColor rgb="FF008080"/>
      <rgbColor rgb="FF0000FF"/>
      <rgbColor rgb="FF00CCFF"/>
      <rgbColor rgb="FFD9E1F2"/>
      <rgbColor rgb="FFE2F0D9"/>
      <rgbColor rgb="FFFFFF99"/>
      <rgbColor rgb="FF99CCFF"/>
      <rgbColor rgb="FFFF99CC"/>
      <rgbColor rgb="FFCC99FF"/>
      <rgbColor rgb="FFFCE4E4"/>
      <rgbColor rgb="FF3366FF"/>
      <rgbColor rgb="FF33CCCC"/>
      <rgbColor rgb="FF99CC00"/>
      <rgbColor rgb="FFFFCC00"/>
      <rgbColor rgb="FFFF9900"/>
      <rgbColor rgb="FFFF6600"/>
      <rgbColor rgb="FF5B4BB7"/>
      <rgbColor rgb="FF8C8C8C"/>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16"/>
    <col collapsed="false" customWidth="true" hidden="false" outlineLevel="0" max="3" min="3" style="0" width="90"/>
  </cols>
  <sheetData>
    <row r="1" customFormat="false" ht="17.35" hidden="false" customHeight="false" outlineLevel="0" collapsed="false">
      <c r="A1" s="1" t="s">
        <v>0</v>
      </c>
      <c r="B1" s="2"/>
      <c r="C1" s="2"/>
    </row>
    <row r="2" customFormat="false" ht="15" hidden="false" customHeight="true" outlineLevel="0" collapsed="false">
      <c r="A2" s="3" t="s">
        <v>1</v>
      </c>
      <c r="B2" s="3"/>
      <c r="C2" s="3"/>
    </row>
    <row r="4" customFormat="false" ht="15" hidden="false" customHeight="false" outlineLevel="0" collapsed="false">
      <c r="A4" s="4" t="s">
        <v>2</v>
      </c>
      <c r="B4" s="2"/>
      <c r="C4" s="2"/>
    </row>
    <row r="5" customFormat="false" ht="60" hidden="false" customHeight="true" outlineLevel="0" collapsed="false">
      <c r="A5" s="3" t="s">
        <v>3</v>
      </c>
      <c r="B5" s="3"/>
      <c r="C5" s="3"/>
    </row>
    <row r="6" customFormat="false" ht="45" hidden="false" customHeight="true" outlineLevel="0" collapsed="false">
      <c r="A6" s="3" t="s">
        <v>4</v>
      </c>
      <c r="B6" s="3"/>
      <c r="C6" s="3"/>
    </row>
    <row r="7" customFormat="false" ht="45" hidden="false" customHeight="true" outlineLevel="0" collapsed="false">
      <c r="A7" s="3" t="s">
        <v>5</v>
      </c>
      <c r="B7" s="3"/>
      <c r="C7" s="3"/>
    </row>
    <row r="8" customFormat="false" ht="15" hidden="false" customHeight="true" outlineLevel="0" collapsed="false">
      <c r="A8" s="3" t="s">
        <v>6</v>
      </c>
      <c r="B8" s="3"/>
      <c r="C8" s="3"/>
    </row>
    <row r="9" customFormat="false" ht="60" hidden="false" customHeight="true" outlineLevel="0" collapsed="false">
      <c r="A9" s="3" t="s">
        <v>7</v>
      </c>
      <c r="B9" s="3"/>
      <c r="C9" s="3"/>
    </row>
    <row r="10" customFormat="false" ht="30" hidden="false" customHeight="true" outlineLevel="0" collapsed="false">
      <c r="A10" s="3" t="s">
        <v>8</v>
      </c>
      <c r="B10" s="3"/>
      <c r="C10" s="3"/>
    </row>
    <row r="12" customFormat="false" ht="15" hidden="false" customHeight="false" outlineLevel="0" collapsed="false">
      <c r="A12" s="4" t="s">
        <v>9</v>
      </c>
      <c r="B12" s="2"/>
      <c r="C12" s="2"/>
    </row>
    <row r="13" customFormat="false" ht="15" hidden="false" customHeight="false" outlineLevel="0" collapsed="false">
      <c r="A13" s="5" t="s">
        <v>10</v>
      </c>
      <c r="B13" s="5" t="n">
        <f aca="false">COUNTA(Service!$A$2:$A$27)</f>
        <v>26</v>
      </c>
      <c r="C13" s="5"/>
    </row>
    <row r="14" customFormat="false" ht="15" hidden="false" customHeight="false" outlineLevel="0" collapsed="false">
      <c r="A14" s="5" t="s">
        <v>11</v>
      </c>
      <c r="B14" s="5" t="n">
        <f aca="false">COUNTIF(Service!$B$2:$B$27,"Buyer-facing sales service")</f>
        <v>8</v>
      </c>
      <c r="C14" s="5" t="s">
        <v>12</v>
      </c>
    </row>
    <row r="15" customFormat="false" ht="15" hidden="false" customHeight="false" outlineLevel="0" collapsed="false">
      <c r="A15" s="5" t="s">
        <v>13</v>
      </c>
      <c r="B15" s="5" t="n">
        <f aca="false">COUNTIF(Service!$B$2:$B$27,"Sales operations service")</f>
        <v>7</v>
      </c>
      <c r="C15" s="5" t="s">
        <v>14</v>
      </c>
    </row>
    <row r="16" customFormat="false" ht="15" hidden="false" customHeight="false" outlineLevel="0" collapsed="false">
      <c r="A16" s="5" t="s">
        <v>15</v>
      </c>
      <c r="B16" s="5" t="n">
        <f aca="false">COUNTIF(Service!$B$2:$B$27,"Sales enablement service")</f>
        <v>3</v>
      </c>
      <c r="C16" s="5" t="s">
        <v>16</v>
      </c>
    </row>
    <row r="17" customFormat="false" ht="15" hidden="false" customHeight="false" outlineLevel="0" collapsed="false">
      <c r="A17" s="5" t="s">
        <v>17</v>
      </c>
      <c r="B17" s="5" t="n">
        <f aca="false">COUNTIF(Service!$B$2:$B$27,"Shared commercial service")</f>
        <v>8</v>
      </c>
      <c r="C17" s="5" t="s">
        <v>18</v>
      </c>
    </row>
    <row r="18" customFormat="false" ht="15" hidden="false" customHeight="false" outlineLevel="0" collapsed="false">
      <c r="A18" s="5" t="s">
        <v>19</v>
      </c>
      <c r="B18" s="5" t="n">
        <f aca="false">COUNTIF(Service!$N$2:$N$27,"In model")</f>
        <v>2</v>
      </c>
      <c r="C18" s="5" t="s">
        <v>20</v>
      </c>
    </row>
    <row r="19" customFormat="false" ht="15" hidden="false" customHeight="false" outlineLevel="0" collapsed="false">
      <c r="A19" s="5" t="s">
        <v>21</v>
      </c>
      <c r="B19" s="5" t="n">
        <f aca="false">COUNTIFS(Process!$C$2:$C$230,"Process",Process!$L$2:$L$230,"APQC PCF 7.2.1")</f>
        <v>25</v>
      </c>
      <c r="C19" s="5"/>
    </row>
    <row r="20" customFormat="false" ht="15" hidden="false" customHeight="false" outlineLevel="0" collapsed="false">
      <c r="A20" s="5" t="s">
        <v>22</v>
      </c>
      <c r="B20" s="5" t="n">
        <f aca="false">COUNTIFS(Process!$C$2:$C$230,"Process",Process!$H$2:$H$230,"Applies")</f>
        <v>16</v>
      </c>
      <c r="C20" s="5"/>
    </row>
    <row r="21" customFormat="false" ht="15" hidden="false" customHeight="false" outlineLevel="0" collapsed="false">
      <c r="A21" s="5" t="s">
        <v>23</v>
      </c>
      <c r="B21" s="5" t="n">
        <f aca="false">COUNTIFS(Process!$C$2:$C$230,"Process",Process!$H$2:$H$230,"Adapted")</f>
        <v>8</v>
      </c>
      <c r="C21" s="5" t="s">
        <v>24</v>
      </c>
    </row>
    <row r="22" customFormat="false" ht="15" hidden="false" customHeight="false" outlineLevel="0" collapsed="false">
      <c r="A22" s="5" t="s">
        <v>25</v>
      </c>
      <c r="B22" s="5" t="n">
        <f aca="false">COUNTIFS(Process!$C$2:$C$230,"Process",Process!$H$2:$H$230,"Not applicable")</f>
        <v>1</v>
      </c>
      <c r="C22" s="5"/>
    </row>
    <row r="23" customFormat="false" ht="15" hidden="false" customHeight="false" outlineLevel="0" collapsed="false">
      <c r="A23" s="5" t="s">
        <v>26</v>
      </c>
      <c r="B23" s="5" t="n">
        <f aca="false">COUNTIFS(Process!$C$2:$C$230,"Process",Process!$H$2:$H$230,"PEO extension")</f>
        <v>7</v>
      </c>
      <c r="C23" s="5"/>
    </row>
    <row r="24" customFormat="false" ht="23.85" hidden="false" customHeight="false" outlineLevel="0" collapsed="false">
      <c r="A24" s="5" t="s">
        <v>27</v>
      </c>
      <c r="B24" s="5" t="n">
        <f aca="false">COUNTIF(Process!$C$2:$C$230,"Activity")+COUNTIF(Process!$C$2:$C$230,"Task")</f>
        <v>191</v>
      </c>
      <c r="C24" s="5"/>
    </row>
    <row r="25" customFormat="false" ht="15" hidden="false" customHeight="false" outlineLevel="0" collapsed="false">
      <c r="A25" s="5" t="s">
        <v>28</v>
      </c>
      <c r="B25" s="5" t="n">
        <f aca="false">COUNTA('Process SIPOCM'!$C$2:$C$63)</f>
        <v>62</v>
      </c>
      <c r="C25" s="5" t="s">
        <v>29</v>
      </c>
    </row>
    <row r="26" customFormat="false" ht="15" hidden="false" customHeight="false" outlineLevel="0" collapsed="false">
      <c r="A26" s="5" t="s">
        <v>30</v>
      </c>
      <c r="B26" s="5" t="n">
        <f aca="false">COUNTIF('Service x Process'!$C$30:$AG$30,0)</f>
        <v>7</v>
      </c>
      <c r="C26" s="5" t="s">
        <v>31</v>
      </c>
    </row>
    <row r="27" customFormat="false" ht="15" hidden="false" customHeight="false" outlineLevel="0" collapsed="false">
      <c r="A27" s="5" t="s">
        <v>32</v>
      </c>
      <c r="B27" s="5" t="n">
        <f aca="false">COUNTIFS(Changes!$C$2:$C$56,"Service",Changes!$D$2:$D$56,"&lt;&gt;Service")</f>
        <v>11</v>
      </c>
      <c r="C27" s="5" t="s">
        <v>33</v>
      </c>
    </row>
    <row r="29" customFormat="false" ht="15" hidden="false" customHeight="false" outlineLevel="0" collapsed="false">
      <c r="A29" s="4" t="s">
        <v>34</v>
      </c>
      <c r="B29" s="2"/>
      <c r="C29" s="2"/>
    </row>
    <row r="30" customFormat="false" ht="23.85" hidden="false" customHeight="false" outlineLevel="0" collapsed="false">
      <c r="A30" s="4" t="s">
        <v>35</v>
      </c>
      <c r="B30" s="2"/>
      <c r="C30" s="5" t="s">
        <v>36</v>
      </c>
    </row>
    <row r="31" customFormat="false" ht="23.85" hidden="false" customHeight="false" outlineLevel="0" collapsed="false">
      <c r="A31" s="4" t="s">
        <v>37</v>
      </c>
      <c r="B31" s="2"/>
      <c r="C31" s="5" t="s">
        <v>38</v>
      </c>
    </row>
    <row r="32" customFormat="false" ht="15" hidden="false" customHeight="false" outlineLevel="0" collapsed="false">
      <c r="A32" s="4" t="s">
        <v>39</v>
      </c>
      <c r="B32" s="2"/>
      <c r="C32" s="5" t="s">
        <v>40</v>
      </c>
    </row>
    <row r="33" customFormat="false" ht="23.85" hidden="false" customHeight="false" outlineLevel="0" collapsed="false">
      <c r="A33" s="4" t="s">
        <v>41</v>
      </c>
      <c r="B33" s="2"/>
      <c r="C33" s="5" t="s">
        <v>42</v>
      </c>
    </row>
    <row r="34" customFormat="false" ht="15" hidden="false" customHeight="false" outlineLevel="0" collapsed="false">
      <c r="A34" s="4" t="s">
        <v>43</v>
      </c>
      <c r="B34" s="2"/>
      <c r="C34" s="5" t="s">
        <v>44</v>
      </c>
    </row>
  </sheetData>
  <mergeCells count="7">
    <mergeCell ref="A2:C2"/>
    <mergeCell ref="A5:C5"/>
    <mergeCell ref="A6:C6"/>
    <mergeCell ref="A7:C7"/>
    <mergeCell ref="A8:C8"/>
    <mergeCell ref="A9:C9"/>
    <mergeCell ref="A10:C1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10"/>
    <col collapsed="false" customWidth="true" hidden="false" outlineLevel="0" max="3" min="3" style="0" width="12"/>
    <col collapsed="false" customWidth="true" hidden="false" outlineLevel="0" max="4" min="4" style="0" width="52"/>
    <col collapsed="false" customWidth="true" hidden="false" outlineLevel="0" max="5" min="5" style="0" width="11"/>
    <col collapsed="false" customWidth="true" hidden="false" outlineLevel="0" max="6" min="6" style="0" width="24"/>
    <col collapsed="false" customWidth="true" hidden="false" outlineLevel="0" max="7" min="7" style="0" width="22"/>
    <col collapsed="false" customWidth="true" hidden="false" outlineLevel="0" max="8" min="8" style="0" width="15"/>
    <col collapsed="false" customWidth="true" hidden="false" outlineLevel="0" max="9" min="9" style="0" width="60"/>
    <col collapsed="false" customWidth="true" hidden="false" outlineLevel="0" max="10" min="10" style="0" width="11"/>
    <col collapsed="false" customWidth="true" hidden="false" outlineLevel="0" max="11" min="11" style="0" width="26"/>
    <col collapsed="false" customWidth="true" hidden="false" outlineLevel="0" max="12" min="12" style="0" width="15"/>
  </cols>
  <sheetData>
    <row r="1" customFormat="false" ht="30" hidden="false" customHeight="true" outlineLevel="0" collapsed="false">
      <c r="A1" s="6" t="s">
        <v>45</v>
      </c>
      <c r="B1" s="6" t="s">
        <v>46</v>
      </c>
      <c r="C1" s="6" t="s">
        <v>47</v>
      </c>
      <c r="D1" s="6" t="s">
        <v>48</v>
      </c>
      <c r="E1" s="6" t="s">
        <v>49</v>
      </c>
      <c r="F1" s="6" t="s">
        <v>50</v>
      </c>
      <c r="G1" s="6" t="s">
        <v>51</v>
      </c>
      <c r="H1" s="6" t="s">
        <v>52</v>
      </c>
      <c r="I1" s="6" t="s">
        <v>53</v>
      </c>
      <c r="J1" s="6" t="s">
        <v>54</v>
      </c>
      <c r="K1" s="6" t="s">
        <v>55</v>
      </c>
      <c r="L1" s="6" t="s">
        <v>56</v>
      </c>
    </row>
    <row r="2" customFormat="false" ht="15" hidden="false" customHeight="false" outlineLevel="0" collapsed="false">
      <c r="A2" s="7" t="s">
        <v>57</v>
      </c>
      <c r="B2" s="7" t="n">
        <v>10004</v>
      </c>
      <c r="C2" s="7" t="s">
        <v>58</v>
      </c>
      <c r="D2" s="7" t="s">
        <v>59</v>
      </c>
      <c r="E2" s="7"/>
      <c r="F2" s="7" t="s">
        <v>60</v>
      </c>
      <c r="G2" s="7" t="s">
        <v>61</v>
      </c>
      <c r="H2" s="7" t="s">
        <v>62</v>
      </c>
      <c r="I2" s="7"/>
      <c r="J2" s="7"/>
      <c r="K2" s="7"/>
      <c r="L2" s="7" t="s">
        <v>63</v>
      </c>
    </row>
    <row r="3" customFormat="false" ht="23.85" hidden="false" customHeight="false" outlineLevel="0" collapsed="false">
      <c r="A3" s="7" t="s">
        <v>64</v>
      </c>
      <c r="B3" s="7" t="n">
        <v>10101</v>
      </c>
      <c r="C3" s="7" t="s">
        <v>65</v>
      </c>
      <c r="D3" s="7" t="s">
        <v>66</v>
      </c>
      <c r="E3" s="7" t="s">
        <v>57</v>
      </c>
      <c r="F3" s="7" t="s">
        <v>67</v>
      </c>
      <c r="G3" s="7" t="s">
        <v>68</v>
      </c>
      <c r="H3" s="7" t="s">
        <v>62</v>
      </c>
      <c r="I3" s="7"/>
      <c r="J3" s="7"/>
      <c r="K3" s="7"/>
      <c r="L3" s="7" t="s">
        <v>63</v>
      </c>
    </row>
    <row r="4" customFormat="false" ht="15" hidden="false" customHeight="false" outlineLevel="0" collapsed="false">
      <c r="A4" s="8" t="s">
        <v>69</v>
      </c>
      <c r="B4" s="8" t="n">
        <v>10106</v>
      </c>
      <c r="C4" s="8" t="s">
        <v>37</v>
      </c>
      <c r="D4" s="9" t="s">
        <v>70</v>
      </c>
      <c r="E4" s="8" t="s">
        <v>64</v>
      </c>
      <c r="F4" s="8" t="s">
        <v>71</v>
      </c>
      <c r="G4" s="8" t="s">
        <v>68</v>
      </c>
      <c r="H4" s="8" t="s">
        <v>62</v>
      </c>
      <c r="I4" s="8"/>
      <c r="J4" s="8"/>
      <c r="K4" s="8"/>
      <c r="L4" s="8" t="s">
        <v>63</v>
      </c>
    </row>
    <row r="5" customFormat="false" ht="15" hidden="false" customHeight="false" outlineLevel="0" collapsed="false">
      <c r="A5" s="5" t="s">
        <v>72</v>
      </c>
      <c r="B5" s="5" t="n">
        <v>10108</v>
      </c>
      <c r="C5" s="5" t="s">
        <v>73</v>
      </c>
      <c r="D5" s="5" t="s">
        <v>74</v>
      </c>
      <c r="E5" s="5" t="s">
        <v>69</v>
      </c>
      <c r="F5" s="5" t="s">
        <v>75</v>
      </c>
      <c r="G5" s="5" t="s">
        <v>68</v>
      </c>
      <c r="H5" s="5" t="s">
        <v>62</v>
      </c>
      <c r="I5" s="5"/>
      <c r="J5" s="5"/>
      <c r="K5" s="5"/>
      <c r="L5" s="5" t="s">
        <v>63</v>
      </c>
    </row>
    <row r="6" customFormat="false" ht="23.85" hidden="false" customHeight="false" outlineLevel="0" collapsed="false">
      <c r="A6" s="5" t="s">
        <v>76</v>
      </c>
      <c r="B6" s="5" t="n">
        <v>10114</v>
      </c>
      <c r="C6" s="5" t="s">
        <v>77</v>
      </c>
      <c r="D6" s="5" t="s">
        <v>78</v>
      </c>
      <c r="E6" s="5" t="s">
        <v>72</v>
      </c>
      <c r="F6" s="5" t="s">
        <v>79</v>
      </c>
      <c r="G6" s="5" t="s">
        <v>68</v>
      </c>
      <c r="H6" s="5" t="s">
        <v>80</v>
      </c>
      <c r="I6" s="5" t="s">
        <v>81</v>
      </c>
      <c r="J6" s="5"/>
      <c r="K6" s="5"/>
      <c r="L6" s="5" t="s">
        <v>63</v>
      </c>
    </row>
    <row r="7" customFormat="false" ht="15" hidden="false" customHeight="false" outlineLevel="0" collapsed="false">
      <c r="A7" s="5" t="s">
        <v>82</v>
      </c>
      <c r="B7" s="5" t="n">
        <v>10109</v>
      </c>
      <c r="C7" s="5" t="s">
        <v>73</v>
      </c>
      <c r="D7" s="5" t="s">
        <v>83</v>
      </c>
      <c r="E7" s="5" t="s">
        <v>69</v>
      </c>
      <c r="F7" s="5" t="s">
        <v>75</v>
      </c>
      <c r="G7" s="5" t="s">
        <v>68</v>
      </c>
      <c r="H7" s="5" t="s">
        <v>62</v>
      </c>
      <c r="I7" s="5"/>
      <c r="J7" s="5"/>
      <c r="K7" s="5"/>
      <c r="L7" s="5" t="s">
        <v>63</v>
      </c>
    </row>
    <row r="8" customFormat="false" ht="23.85" hidden="false" customHeight="false" outlineLevel="0" collapsed="false">
      <c r="A8" s="5" t="s">
        <v>84</v>
      </c>
      <c r="B8" s="5" t="n">
        <v>10115</v>
      </c>
      <c r="C8" s="5" t="s">
        <v>77</v>
      </c>
      <c r="D8" s="5" t="s">
        <v>85</v>
      </c>
      <c r="E8" s="5" t="s">
        <v>82</v>
      </c>
      <c r="F8" s="5" t="s">
        <v>79</v>
      </c>
      <c r="G8" s="5" t="s">
        <v>68</v>
      </c>
      <c r="H8" s="5" t="s">
        <v>80</v>
      </c>
      <c r="I8" s="5" t="s">
        <v>86</v>
      </c>
      <c r="J8" s="5"/>
      <c r="K8" s="5"/>
      <c r="L8" s="5" t="s">
        <v>63</v>
      </c>
    </row>
    <row r="9" customFormat="false" ht="15" hidden="false" customHeight="false" outlineLevel="0" collapsed="false">
      <c r="A9" s="5" t="s">
        <v>87</v>
      </c>
      <c r="B9" s="5" t="n">
        <v>10110</v>
      </c>
      <c r="C9" s="5" t="s">
        <v>73</v>
      </c>
      <c r="D9" s="5" t="s">
        <v>88</v>
      </c>
      <c r="E9" s="5" t="s">
        <v>69</v>
      </c>
      <c r="F9" s="5" t="s">
        <v>75</v>
      </c>
      <c r="G9" s="5" t="s">
        <v>68</v>
      </c>
      <c r="H9" s="5" t="s">
        <v>62</v>
      </c>
      <c r="I9" s="5"/>
      <c r="J9" s="5"/>
      <c r="K9" s="5"/>
      <c r="L9" s="5" t="s">
        <v>63</v>
      </c>
    </row>
    <row r="10" customFormat="false" ht="23.85" hidden="false" customHeight="false" outlineLevel="0" collapsed="false">
      <c r="A10" s="5" t="s">
        <v>89</v>
      </c>
      <c r="B10" s="5" t="n">
        <v>10111</v>
      </c>
      <c r="C10" s="5" t="s">
        <v>73</v>
      </c>
      <c r="D10" s="5" t="s">
        <v>90</v>
      </c>
      <c r="E10" s="5" t="s">
        <v>69</v>
      </c>
      <c r="F10" s="5" t="s">
        <v>75</v>
      </c>
      <c r="G10" s="5" t="s">
        <v>68</v>
      </c>
      <c r="H10" s="5" t="s">
        <v>62</v>
      </c>
      <c r="I10" s="5"/>
      <c r="J10" s="5"/>
      <c r="K10" s="5"/>
      <c r="L10" s="5" t="s">
        <v>63</v>
      </c>
    </row>
    <row r="11" customFormat="false" ht="23.85" hidden="false" customHeight="false" outlineLevel="0" collapsed="false">
      <c r="A11" s="5" t="s">
        <v>91</v>
      </c>
      <c r="B11" s="5" t="n">
        <v>10112</v>
      </c>
      <c r="C11" s="5" t="s">
        <v>73</v>
      </c>
      <c r="D11" s="5" t="s">
        <v>92</v>
      </c>
      <c r="E11" s="5" t="s">
        <v>69</v>
      </c>
      <c r="F11" s="5" t="s">
        <v>75</v>
      </c>
      <c r="G11" s="5" t="s">
        <v>68</v>
      </c>
      <c r="H11" s="5" t="s">
        <v>80</v>
      </c>
      <c r="I11" s="5" t="s">
        <v>93</v>
      </c>
      <c r="J11" s="5"/>
      <c r="K11" s="5"/>
      <c r="L11" s="5" t="s">
        <v>63</v>
      </c>
    </row>
    <row r="12" customFormat="false" ht="15" hidden="false" customHeight="false" outlineLevel="0" collapsed="false">
      <c r="A12" s="5" t="s">
        <v>94</v>
      </c>
      <c r="B12" s="5" t="n">
        <v>10113</v>
      </c>
      <c r="C12" s="5" t="s">
        <v>73</v>
      </c>
      <c r="D12" s="5" t="s">
        <v>95</v>
      </c>
      <c r="E12" s="5" t="s">
        <v>69</v>
      </c>
      <c r="F12" s="5" t="s">
        <v>75</v>
      </c>
      <c r="G12" s="5" t="s">
        <v>68</v>
      </c>
      <c r="H12" s="5" t="s">
        <v>62</v>
      </c>
      <c r="I12" s="5"/>
      <c r="J12" s="5"/>
      <c r="K12" s="5"/>
      <c r="L12" s="5" t="s">
        <v>63</v>
      </c>
    </row>
    <row r="13" customFormat="false" ht="15" hidden="false" customHeight="false" outlineLevel="0" collapsed="false">
      <c r="A13" s="8" t="s">
        <v>96</v>
      </c>
      <c r="B13" s="8" t="n">
        <v>10107</v>
      </c>
      <c r="C13" s="8" t="s">
        <v>37</v>
      </c>
      <c r="D13" s="9" t="s">
        <v>97</v>
      </c>
      <c r="E13" s="8" t="s">
        <v>64</v>
      </c>
      <c r="F13" s="8" t="s">
        <v>71</v>
      </c>
      <c r="G13" s="8" t="s">
        <v>68</v>
      </c>
      <c r="H13" s="8" t="s">
        <v>62</v>
      </c>
      <c r="I13" s="8"/>
      <c r="J13" s="8"/>
      <c r="K13" s="8"/>
      <c r="L13" s="8" t="s">
        <v>63</v>
      </c>
    </row>
    <row r="14" customFormat="false" ht="15" hidden="false" customHeight="false" outlineLevel="0" collapsed="false">
      <c r="A14" s="5" t="s">
        <v>98</v>
      </c>
      <c r="B14" s="5" t="n">
        <v>10116</v>
      </c>
      <c r="C14" s="5" t="s">
        <v>73</v>
      </c>
      <c r="D14" s="5" t="s">
        <v>99</v>
      </c>
      <c r="E14" s="5" t="s">
        <v>96</v>
      </c>
      <c r="F14" s="5" t="s">
        <v>75</v>
      </c>
      <c r="G14" s="5" t="s">
        <v>68</v>
      </c>
      <c r="H14" s="5" t="s">
        <v>62</v>
      </c>
      <c r="I14" s="5"/>
      <c r="J14" s="5"/>
      <c r="K14" s="5"/>
      <c r="L14" s="5" t="s">
        <v>63</v>
      </c>
    </row>
    <row r="15" customFormat="false" ht="15" hidden="false" customHeight="false" outlineLevel="0" collapsed="false">
      <c r="A15" s="5" t="s">
        <v>100</v>
      </c>
      <c r="B15" s="5" t="n">
        <v>10117</v>
      </c>
      <c r="C15" s="5" t="s">
        <v>73</v>
      </c>
      <c r="D15" s="5" t="s">
        <v>101</v>
      </c>
      <c r="E15" s="5" t="s">
        <v>96</v>
      </c>
      <c r="F15" s="5" t="s">
        <v>75</v>
      </c>
      <c r="G15" s="5" t="s">
        <v>68</v>
      </c>
      <c r="H15" s="5" t="s">
        <v>62</v>
      </c>
      <c r="I15" s="5"/>
      <c r="J15" s="5"/>
      <c r="K15" s="5"/>
      <c r="L15" s="5" t="s">
        <v>63</v>
      </c>
    </row>
    <row r="16" customFormat="false" ht="23.85" hidden="false" customHeight="false" outlineLevel="0" collapsed="false">
      <c r="A16" s="5" t="s">
        <v>102</v>
      </c>
      <c r="B16" s="5" t="n">
        <v>18941</v>
      </c>
      <c r="C16" s="5" t="s">
        <v>77</v>
      </c>
      <c r="D16" s="5" t="s">
        <v>103</v>
      </c>
      <c r="E16" s="5" t="s">
        <v>100</v>
      </c>
      <c r="F16" s="5" t="s">
        <v>79</v>
      </c>
      <c r="G16" s="5" t="s">
        <v>68</v>
      </c>
      <c r="H16" s="5" t="s">
        <v>62</v>
      </c>
      <c r="I16" s="5"/>
      <c r="J16" s="5"/>
      <c r="K16" s="5"/>
      <c r="L16" s="5" t="s">
        <v>63</v>
      </c>
    </row>
    <row r="17" customFormat="false" ht="23.85" hidden="false" customHeight="false" outlineLevel="0" collapsed="false">
      <c r="A17" s="5" t="s">
        <v>104</v>
      </c>
      <c r="B17" s="5" t="n">
        <v>10118</v>
      </c>
      <c r="C17" s="5" t="s">
        <v>73</v>
      </c>
      <c r="D17" s="5" t="s">
        <v>105</v>
      </c>
      <c r="E17" s="5" t="s">
        <v>96</v>
      </c>
      <c r="F17" s="5" t="s">
        <v>75</v>
      </c>
      <c r="G17" s="5" t="s">
        <v>68</v>
      </c>
      <c r="H17" s="5" t="s">
        <v>62</v>
      </c>
      <c r="I17" s="5"/>
      <c r="J17" s="5"/>
      <c r="K17" s="5"/>
      <c r="L17" s="5" t="s">
        <v>63</v>
      </c>
    </row>
    <row r="18" customFormat="false" ht="15" hidden="false" customHeight="false" outlineLevel="0" collapsed="false">
      <c r="A18" s="5" t="s">
        <v>106</v>
      </c>
      <c r="B18" s="5" t="n">
        <v>10119</v>
      </c>
      <c r="C18" s="5" t="s">
        <v>73</v>
      </c>
      <c r="D18" s="5" t="s">
        <v>107</v>
      </c>
      <c r="E18" s="5" t="s">
        <v>96</v>
      </c>
      <c r="F18" s="5" t="s">
        <v>75</v>
      </c>
      <c r="G18" s="5" t="s">
        <v>68</v>
      </c>
      <c r="H18" s="5" t="s">
        <v>62</v>
      </c>
      <c r="I18" s="5"/>
      <c r="J18" s="5"/>
      <c r="K18" s="5"/>
      <c r="L18" s="5" t="s">
        <v>63</v>
      </c>
    </row>
    <row r="19" customFormat="false" ht="23.85" hidden="false" customHeight="false" outlineLevel="0" collapsed="false">
      <c r="A19" s="5" t="s">
        <v>108</v>
      </c>
      <c r="B19" s="5" t="n">
        <v>10120</v>
      </c>
      <c r="C19" s="5" t="s">
        <v>77</v>
      </c>
      <c r="D19" s="5" t="s">
        <v>109</v>
      </c>
      <c r="E19" s="5" t="s">
        <v>106</v>
      </c>
      <c r="F19" s="5" t="s">
        <v>79</v>
      </c>
      <c r="G19" s="5" t="s">
        <v>68</v>
      </c>
      <c r="H19" s="5" t="s">
        <v>62</v>
      </c>
      <c r="I19" s="5"/>
      <c r="J19" s="5"/>
      <c r="K19" s="5"/>
      <c r="L19" s="5" t="s">
        <v>63</v>
      </c>
    </row>
    <row r="20" customFormat="false" ht="23.85" hidden="false" customHeight="false" outlineLevel="0" collapsed="false">
      <c r="A20" s="5" t="s">
        <v>110</v>
      </c>
      <c r="B20" s="5" t="n">
        <v>10121</v>
      </c>
      <c r="C20" s="5" t="s">
        <v>77</v>
      </c>
      <c r="D20" s="5" t="s">
        <v>111</v>
      </c>
      <c r="E20" s="5" t="s">
        <v>106</v>
      </c>
      <c r="F20" s="5" t="s">
        <v>79</v>
      </c>
      <c r="G20" s="5" t="s">
        <v>68</v>
      </c>
      <c r="H20" s="5" t="s">
        <v>62</v>
      </c>
      <c r="I20" s="5"/>
      <c r="J20" s="5"/>
      <c r="K20" s="5"/>
      <c r="L20" s="5" t="s">
        <v>63</v>
      </c>
    </row>
    <row r="21" customFormat="false" ht="23.85" hidden="false" customHeight="false" outlineLevel="0" collapsed="false">
      <c r="A21" s="7" t="s">
        <v>112</v>
      </c>
      <c r="B21" s="7" t="n">
        <v>10102</v>
      </c>
      <c r="C21" s="7" t="s">
        <v>65</v>
      </c>
      <c r="D21" s="7" t="s">
        <v>113</v>
      </c>
      <c r="E21" s="7" t="s">
        <v>57</v>
      </c>
      <c r="F21" s="7" t="s">
        <v>67</v>
      </c>
      <c r="G21" s="7" t="s">
        <v>68</v>
      </c>
      <c r="H21" s="7" t="s">
        <v>62</v>
      </c>
      <c r="I21" s="7"/>
      <c r="J21" s="7"/>
      <c r="K21" s="7"/>
      <c r="L21" s="7" t="s">
        <v>63</v>
      </c>
    </row>
    <row r="22" customFormat="false" ht="15" hidden="false" customHeight="false" outlineLevel="0" collapsed="false">
      <c r="A22" s="8" t="s">
        <v>114</v>
      </c>
      <c r="B22" s="8" t="n">
        <v>11168</v>
      </c>
      <c r="C22" s="8" t="s">
        <v>37</v>
      </c>
      <c r="D22" s="9" t="s">
        <v>115</v>
      </c>
      <c r="E22" s="8" t="s">
        <v>112</v>
      </c>
      <c r="F22" s="8" t="s">
        <v>71</v>
      </c>
      <c r="G22" s="8" t="s">
        <v>68</v>
      </c>
      <c r="H22" s="8" t="s">
        <v>62</v>
      </c>
      <c r="I22" s="8"/>
      <c r="J22" s="8"/>
      <c r="K22" s="8"/>
      <c r="L22" s="8" t="s">
        <v>63</v>
      </c>
    </row>
    <row r="23" customFormat="false" ht="15" hidden="false" customHeight="false" outlineLevel="0" collapsed="false">
      <c r="A23" s="5" t="s">
        <v>116</v>
      </c>
      <c r="B23" s="5" t="n">
        <v>11169</v>
      </c>
      <c r="C23" s="5" t="s">
        <v>73</v>
      </c>
      <c r="D23" s="5" t="s">
        <v>117</v>
      </c>
      <c r="E23" s="5" t="s">
        <v>114</v>
      </c>
      <c r="F23" s="5" t="s">
        <v>75</v>
      </c>
      <c r="G23" s="5" t="s">
        <v>68</v>
      </c>
      <c r="H23" s="5" t="s">
        <v>62</v>
      </c>
      <c r="I23" s="5"/>
      <c r="J23" s="5"/>
      <c r="K23" s="5"/>
      <c r="L23" s="5" t="s">
        <v>63</v>
      </c>
    </row>
    <row r="24" customFormat="false" ht="23.85" hidden="false" customHeight="false" outlineLevel="0" collapsed="false">
      <c r="A24" s="5" t="s">
        <v>118</v>
      </c>
      <c r="B24" s="5" t="n">
        <v>11170</v>
      </c>
      <c r="C24" s="5" t="s">
        <v>73</v>
      </c>
      <c r="D24" s="5" t="s">
        <v>119</v>
      </c>
      <c r="E24" s="5" t="s">
        <v>114</v>
      </c>
      <c r="F24" s="5" t="s">
        <v>75</v>
      </c>
      <c r="G24" s="5" t="s">
        <v>68</v>
      </c>
      <c r="H24" s="5" t="s">
        <v>62</v>
      </c>
      <c r="I24" s="5"/>
      <c r="J24" s="5"/>
      <c r="K24" s="5"/>
      <c r="L24" s="5" t="s">
        <v>63</v>
      </c>
    </row>
    <row r="25" customFormat="false" ht="15" hidden="false" customHeight="false" outlineLevel="0" collapsed="false">
      <c r="A25" s="5" t="s">
        <v>120</v>
      </c>
      <c r="B25" s="5" t="n">
        <v>11171</v>
      </c>
      <c r="C25" s="5" t="s">
        <v>73</v>
      </c>
      <c r="D25" s="5" t="s">
        <v>121</v>
      </c>
      <c r="E25" s="5" t="s">
        <v>114</v>
      </c>
      <c r="F25" s="5" t="s">
        <v>75</v>
      </c>
      <c r="G25" s="5" t="s">
        <v>68</v>
      </c>
      <c r="H25" s="5" t="s">
        <v>62</v>
      </c>
      <c r="I25" s="5"/>
      <c r="J25" s="5"/>
      <c r="K25" s="5"/>
      <c r="L25" s="5" t="s">
        <v>63</v>
      </c>
    </row>
    <row r="26" customFormat="false" ht="23.85" hidden="false" customHeight="false" outlineLevel="0" collapsed="false">
      <c r="A26" s="5" t="s">
        <v>122</v>
      </c>
      <c r="B26" s="5" t="n">
        <v>11172</v>
      </c>
      <c r="C26" s="5" t="s">
        <v>73</v>
      </c>
      <c r="D26" s="5" t="s">
        <v>123</v>
      </c>
      <c r="E26" s="5" t="s">
        <v>114</v>
      </c>
      <c r="F26" s="5" t="s">
        <v>75</v>
      </c>
      <c r="G26" s="5" t="s">
        <v>68</v>
      </c>
      <c r="H26" s="5" t="s">
        <v>80</v>
      </c>
      <c r="I26" s="5" t="s">
        <v>124</v>
      </c>
      <c r="J26" s="5"/>
      <c r="K26" s="5"/>
      <c r="L26" s="5" t="s">
        <v>63</v>
      </c>
    </row>
    <row r="27" customFormat="false" ht="23.85" hidden="false" customHeight="false" outlineLevel="0" collapsed="false">
      <c r="A27" s="8" t="s">
        <v>125</v>
      </c>
      <c r="B27" s="8" t="n">
        <v>10123</v>
      </c>
      <c r="C27" s="8" t="s">
        <v>37</v>
      </c>
      <c r="D27" s="9" t="s">
        <v>126</v>
      </c>
      <c r="E27" s="8" t="s">
        <v>112</v>
      </c>
      <c r="F27" s="8" t="s">
        <v>71</v>
      </c>
      <c r="G27" s="8" t="s">
        <v>127</v>
      </c>
      <c r="H27" s="8" t="s">
        <v>80</v>
      </c>
      <c r="I27" s="8" t="s">
        <v>128</v>
      </c>
      <c r="J27" s="8"/>
      <c r="K27" s="8"/>
      <c r="L27" s="8" t="s">
        <v>63</v>
      </c>
    </row>
    <row r="28" customFormat="false" ht="15" hidden="false" customHeight="false" outlineLevel="0" collapsed="false">
      <c r="A28" s="5" t="s">
        <v>129</v>
      </c>
      <c r="B28" s="5" t="n">
        <v>13169</v>
      </c>
      <c r="C28" s="5" t="s">
        <v>73</v>
      </c>
      <c r="D28" s="5" t="s">
        <v>130</v>
      </c>
      <c r="E28" s="5" t="s">
        <v>125</v>
      </c>
      <c r="F28" s="5" t="s">
        <v>75</v>
      </c>
      <c r="G28" s="5" t="s">
        <v>127</v>
      </c>
      <c r="H28" s="5" t="s">
        <v>62</v>
      </c>
      <c r="I28" s="5"/>
      <c r="J28" s="5"/>
      <c r="K28" s="5"/>
      <c r="L28" s="5" t="s">
        <v>63</v>
      </c>
    </row>
    <row r="29" customFormat="false" ht="23.85" hidden="false" customHeight="false" outlineLevel="0" collapsed="false">
      <c r="A29" s="5" t="s">
        <v>131</v>
      </c>
      <c r="B29" s="5" t="n">
        <v>10124</v>
      </c>
      <c r="C29" s="5" t="s">
        <v>73</v>
      </c>
      <c r="D29" s="5" t="s">
        <v>132</v>
      </c>
      <c r="E29" s="5" t="s">
        <v>125</v>
      </c>
      <c r="F29" s="5" t="s">
        <v>75</v>
      </c>
      <c r="G29" s="5" t="s">
        <v>127</v>
      </c>
      <c r="H29" s="5" t="s">
        <v>62</v>
      </c>
      <c r="I29" s="5"/>
      <c r="J29" s="5"/>
      <c r="K29" s="5"/>
      <c r="L29" s="5" t="s">
        <v>63</v>
      </c>
    </row>
    <row r="30" customFormat="false" ht="15" hidden="false" customHeight="false" outlineLevel="0" collapsed="false">
      <c r="A30" s="5" t="s">
        <v>133</v>
      </c>
      <c r="B30" s="5" t="n">
        <v>19999</v>
      </c>
      <c r="C30" s="5" t="s">
        <v>73</v>
      </c>
      <c r="D30" s="5" t="s">
        <v>134</v>
      </c>
      <c r="E30" s="5" t="s">
        <v>125</v>
      </c>
      <c r="F30" s="5" t="s">
        <v>75</v>
      </c>
      <c r="G30" s="5" t="s">
        <v>127</v>
      </c>
      <c r="H30" s="5" t="s">
        <v>62</v>
      </c>
      <c r="I30" s="5"/>
      <c r="J30" s="5"/>
      <c r="K30" s="5"/>
      <c r="L30" s="5" t="s">
        <v>63</v>
      </c>
    </row>
    <row r="31" customFormat="false" ht="15" hidden="false" customHeight="false" outlineLevel="0" collapsed="false">
      <c r="A31" s="5" t="s">
        <v>135</v>
      </c>
      <c r="B31" s="5" t="n">
        <v>10125</v>
      </c>
      <c r="C31" s="5" t="s">
        <v>73</v>
      </c>
      <c r="D31" s="5" t="s">
        <v>136</v>
      </c>
      <c r="E31" s="5" t="s">
        <v>125</v>
      </c>
      <c r="F31" s="5" t="s">
        <v>75</v>
      </c>
      <c r="G31" s="5" t="s">
        <v>127</v>
      </c>
      <c r="H31" s="5" t="s">
        <v>62</v>
      </c>
      <c r="I31" s="5"/>
      <c r="J31" s="5"/>
      <c r="K31" s="5"/>
      <c r="L31" s="5" t="s">
        <v>63</v>
      </c>
    </row>
    <row r="32" customFormat="false" ht="23.85" hidden="false" customHeight="false" outlineLevel="0" collapsed="false">
      <c r="A32" s="8" t="s">
        <v>137</v>
      </c>
      <c r="B32" s="8" t="n">
        <v>20000</v>
      </c>
      <c r="C32" s="8" t="s">
        <v>37</v>
      </c>
      <c r="D32" s="9" t="s">
        <v>138</v>
      </c>
      <c r="E32" s="8" t="s">
        <v>112</v>
      </c>
      <c r="F32" s="8" t="s">
        <v>71</v>
      </c>
      <c r="G32" s="8" t="s">
        <v>139</v>
      </c>
      <c r="H32" s="8" t="s">
        <v>80</v>
      </c>
      <c r="I32" s="8" t="s">
        <v>140</v>
      </c>
      <c r="J32" s="8"/>
      <c r="K32" s="8"/>
      <c r="L32" s="8" t="s">
        <v>63</v>
      </c>
    </row>
    <row r="33" customFormat="false" ht="15" hidden="false" customHeight="false" outlineLevel="0" collapsed="false">
      <c r="A33" s="5" t="s">
        <v>141</v>
      </c>
      <c r="B33" s="5" t="n">
        <v>20001</v>
      </c>
      <c r="C33" s="5" t="s">
        <v>73</v>
      </c>
      <c r="D33" s="5" t="s">
        <v>142</v>
      </c>
      <c r="E33" s="5" t="s">
        <v>137</v>
      </c>
      <c r="F33" s="5" t="s">
        <v>75</v>
      </c>
      <c r="G33" s="5" t="s">
        <v>139</v>
      </c>
      <c r="H33" s="5" t="s">
        <v>62</v>
      </c>
      <c r="I33" s="5"/>
      <c r="J33" s="5"/>
      <c r="K33" s="5"/>
      <c r="L33" s="5" t="s">
        <v>63</v>
      </c>
    </row>
    <row r="34" customFormat="false" ht="15" hidden="false" customHeight="false" outlineLevel="0" collapsed="false">
      <c r="A34" s="5" t="s">
        <v>143</v>
      </c>
      <c r="B34" s="5" t="n">
        <v>20002</v>
      </c>
      <c r="C34" s="5" t="s">
        <v>73</v>
      </c>
      <c r="D34" s="5" t="s">
        <v>144</v>
      </c>
      <c r="E34" s="5" t="s">
        <v>137</v>
      </c>
      <c r="F34" s="5" t="s">
        <v>75</v>
      </c>
      <c r="G34" s="5" t="s">
        <v>139</v>
      </c>
      <c r="H34" s="5" t="s">
        <v>62</v>
      </c>
      <c r="I34" s="5"/>
      <c r="J34" s="5"/>
      <c r="K34" s="5"/>
      <c r="L34" s="5" t="s">
        <v>63</v>
      </c>
    </row>
    <row r="35" customFormat="false" ht="15" hidden="false" customHeight="false" outlineLevel="0" collapsed="false">
      <c r="A35" s="5" t="s">
        <v>145</v>
      </c>
      <c r="B35" s="5" t="n">
        <v>10127</v>
      </c>
      <c r="C35" s="5" t="s">
        <v>73</v>
      </c>
      <c r="D35" s="5" t="s">
        <v>146</v>
      </c>
      <c r="E35" s="5" t="s">
        <v>137</v>
      </c>
      <c r="F35" s="5" t="s">
        <v>75</v>
      </c>
      <c r="G35" s="5" t="s">
        <v>139</v>
      </c>
      <c r="H35" s="5" t="s">
        <v>62</v>
      </c>
      <c r="I35" s="5"/>
      <c r="J35" s="5"/>
      <c r="K35" s="5"/>
      <c r="L35" s="5" t="s">
        <v>63</v>
      </c>
    </row>
    <row r="36" customFormat="false" ht="15" hidden="false" customHeight="false" outlineLevel="0" collapsed="false">
      <c r="A36" s="5" t="s">
        <v>147</v>
      </c>
      <c r="B36" s="5" t="n">
        <v>10128</v>
      </c>
      <c r="C36" s="5" t="s">
        <v>73</v>
      </c>
      <c r="D36" s="5" t="s">
        <v>148</v>
      </c>
      <c r="E36" s="5" t="s">
        <v>137</v>
      </c>
      <c r="F36" s="5" t="s">
        <v>75</v>
      </c>
      <c r="G36" s="5" t="s">
        <v>139</v>
      </c>
      <c r="H36" s="5" t="s">
        <v>62</v>
      </c>
      <c r="I36" s="5"/>
      <c r="J36" s="5"/>
      <c r="K36" s="5"/>
      <c r="L36" s="5" t="s">
        <v>63</v>
      </c>
    </row>
    <row r="37" customFormat="false" ht="15" hidden="false" customHeight="false" outlineLevel="0" collapsed="false">
      <c r="A37" s="5" t="s">
        <v>149</v>
      </c>
      <c r="B37" s="5" t="n">
        <v>20003</v>
      </c>
      <c r="C37" s="5" t="s">
        <v>73</v>
      </c>
      <c r="D37" s="5" t="s">
        <v>150</v>
      </c>
      <c r="E37" s="5" t="s">
        <v>137</v>
      </c>
      <c r="F37" s="5" t="s">
        <v>75</v>
      </c>
      <c r="G37" s="5" t="s">
        <v>139</v>
      </c>
      <c r="H37" s="5" t="s">
        <v>62</v>
      </c>
      <c r="I37" s="5"/>
      <c r="J37" s="5"/>
      <c r="K37" s="5"/>
      <c r="L37" s="5" t="s">
        <v>63</v>
      </c>
    </row>
    <row r="38" customFormat="false" ht="15" hidden="false" customHeight="false" outlineLevel="0" collapsed="false">
      <c r="A38" s="5" t="s">
        <v>151</v>
      </c>
      <c r="B38" s="5" t="n">
        <v>10126</v>
      </c>
      <c r="C38" s="5" t="s">
        <v>73</v>
      </c>
      <c r="D38" s="5" t="s">
        <v>152</v>
      </c>
      <c r="E38" s="5" t="s">
        <v>137</v>
      </c>
      <c r="F38" s="5" t="s">
        <v>75</v>
      </c>
      <c r="G38" s="5" t="s">
        <v>139</v>
      </c>
      <c r="H38" s="5" t="s">
        <v>62</v>
      </c>
      <c r="I38" s="5"/>
      <c r="J38" s="5"/>
      <c r="K38" s="5"/>
      <c r="L38" s="5" t="s">
        <v>63</v>
      </c>
    </row>
    <row r="39" customFormat="false" ht="23.85" hidden="false" customHeight="false" outlineLevel="0" collapsed="false">
      <c r="A39" s="5" t="s">
        <v>153</v>
      </c>
      <c r="B39" s="5" t="n">
        <v>20004</v>
      </c>
      <c r="C39" s="5" t="s">
        <v>73</v>
      </c>
      <c r="D39" s="5" t="s">
        <v>154</v>
      </c>
      <c r="E39" s="5" t="s">
        <v>137</v>
      </c>
      <c r="F39" s="5" t="s">
        <v>75</v>
      </c>
      <c r="G39" s="5" t="s">
        <v>139</v>
      </c>
      <c r="H39" s="5" t="s">
        <v>80</v>
      </c>
      <c r="I39" s="5" t="s">
        <v>155</v>
      </c>
      <c r="J39" s="5"/>
      <c r="K39" s="5"/>
      <c r="L39" s="5" t="s">
        <v>63</v>
      </c>
    </row>
    <row r="40" customFormat="false" ht="23.85" hidden="false" customHeight="false" outlineLevel="0" collapsed="false">
      <c r="A40" s="5" t="s">
        <v>156</v>
      </c>
      <c r="B40" s="5" t="n">
        <v>16590</v>
      </c>
      <c r="C40" s="5" t="s">
        <v>77</v>
      </c>
      <c r="D40" s="5" t="s">
        <v>157</v>
      </c>
      <c r="E40" s="5" t="s">
        <v>153</v>
      </c>
      <c r="F40" s="5" t="s">
        <v>79</v>
      </c>
      <c r="G40" s="5" t="s">
        <v>139</v>
      </c>
      <c r="H40" s="5" t="s">
        <v>80</v>
      </c>
      <c r="I40" s="5"/>
      <c r="J40" s="5"/>
      <c r="K40" s="5"/>
      <c r="L40" s="5" t="s">
        <v>63</v>
      </c>
    </row>
    <row r="41" customFormat="false" ht="23.85" hidden="false" customHeight="false" outlineLevel="0" collapsed="false">
      <c r="A41" s="5" t="s">
        <v>158</v>
      </c>
      <c r="B41" s="5" t="n">
        <v>16591</v>
      </c>
      <c r="C41" s="5" t="s">
        <v>77</v>
      </c>
      <c r="D41" s="5" t="s">
        <v>159</v>
      </c>
      <c r="E41" s="5" t="s">
        <v>153</v>
      </c>
      <c r="F41" s="5" t="s">
        <v>79</v>
      </c>
      <c r="G41" s="5" t="s">
        <v>139</v>
      </c>
      <c r="H41" s="5" t="s">
        <v>80</v>
      </c>
      <c r="I41" s="5"/>
      <c r="J41" s="5"/>
      <c r="K41" s="5"/>
      <c r="L41" s="5" t="s">
        <v>63</v>
      </c>
    </row>
    <row r="42" customFormat="false" ht="23.85" hidden="false" customHeight="false" outlineLevel="0" collapsed="false">
      <c r="A42" s="5" t="s">
        <v>160</v>
      </c>
      <c r="B42" s="5" t="n">
        <v>16592</v>
      </c>
      <c r="C42" s="5" t="s">
        <v>77</v>
      </c>
      <c r="D42" s="5" t="s">
        <v>161</v>
      </c>
      <c r="E42" s="5" t="s">
        <v>153</v>
      </c>
      <c r="F42" s="5" t="s">
        <v>79</v>
      </c>
      <c r="G42" s="5" t="s">
        <v>139</v>
      </c>
      <c r="H42" s="5" t="s">
        <v>80</v>
      </c>
      <c r="I42" s="5"/>
      <c r="J42" s="5"/>
      <c r="K42" s="5"/>
      <c r="L42" s="5" t="s">
        <v>63</v>
      </c>
    </row>
    <row r="43" customFormat="false" ht="15" hidden="false" customHeight="false" outlineLevel="0" collapsed="false">
      <c r="A43" s="5" t="s">
        <v>162</v>
      </c>
      <c r="B43" s="5" t="n">
        <v>20005</v>
      </c>
      <c r="C43" s="5" t="s">
        <v>73</v>
      </c>
      <c r="D43" s="5" t="s">
        <v>163</v>
      </c>
      <c r="E43" s="5" t="s">
        <v>137</v>
      </c>
      <c r="F43" s="5" t="s">
        <v>75</v>
      </c>
      <c r="G43" s="5" t="s">
        <v>139</v>
      </c>
      <c r="H43" s="5" t="s">
        <v>62</v>
      </c>
      <c r="I43" s="5"/>
      <c r="J43" s="5"/>
      <c r="K43" s="5"/>
      <c r="L43" s="5" t="s">
        <v>63</v>
      </c>
    </row>
    <row r="44" customFormat="false" ht="15" hidden="false" customHeight="false" outlineLevel="0" collapsed="false">
      <c r="A44" s="8" t="s">
        <v>164</v>
      </c>
      <c r="B44" s="8" t="n">
        <v>20006</v>
      </c>
      <c r="C44" s="8" t="s">
        <v>37</v>
      </c>
      <c r="D44" s="9" t="s">
        <v>165</v>
      </c>
      <c r="E44" s="8" t="s">
        <v>112</v>
      </c>
      <c r="F44" s="8" t="s">
        <v>71</v>
      </c>
      <c r="G44" s="8" t="s">
        <v>139</v>
      </c>
      <c r="H44" s="8" t="s">
        <v>62</v>
      </c>
      <c r="I44" s="8"/>
      <c r="J44" s="8"/>
      <c r="K44" s="8"/>
      <c r="L44" s="8" t="s">
        <v>63</v>
      </c>
    </row>
    <row r="45" customFormat="false" ht="15" hidden="false" customHeight="false" outlineLevel="0" collapsed="false">
      <c r="A45" s="5" t="s">
        <v>166</v>
      </c>
      <c r="B45" s="5" t="n">
        <v>16573</v>
      </c>
      <c r="C45" s="5" t="s">
        <v>73</v>
      </c>
      <c r="D45" s="5" t="s">
        <v>167</v>
      </c>
      <c r="E45" s="5" t="s">
        <v>164</v>
      </c>
      <c r="F45" s="5" t="s">
        <v>75</v>
      </c>
      <c r="G45" s="5" t="s">
        <v>139</v>
      </c>
      <c r="H45" s="5" t="s">
        <v>62</v>
      </c>
      <c r="I45" s="5"/>
      <c r="J45" s="5"/>
      <c r="K45" s="5"/>
      <c r="L45" s="5" t="s">
        <v>63</v>
      </c>
    </row>
    <row r="46" customFormat="false" ht="15" hidden="false" customHeight="false" outlineLevel="0" collapsed="false">
      <c r="A46" s="5" t="s">
        <v>168</v>
      </c>
      <c r="B46" s="5" t="n">
        <v>16574</v>
      </c>
      <c r="C46" s="5" t="s">
        <v>73</v>
      </c>
      <c r="D46" s="5" t="s">
        <v>169</v>
      </c>
      <c r="E46" s="5" t="s">
        <v>164</v>
      </c>
      <c r="F46" s="5" t="s">
        <v>75</v>
      </c>
      <c r="G46" s="5" t="s">
        <v>139</v>
      </c>
      <c r="H46" s="5" t="s">
        <v>62</v>
      </c>
      <c r="I46" s="5"/>
      <c r="J46" s="5"/>
      <c r="K46" s="5"/>
      <c r="L46" s="5" t="s">
        <v>63</v>
      </c>
    </row>
    <row r="47" customFormat="false" ht="15" hidden="false" customHeight="false" outlineLevel="0" collapsed="false">
      <c r="A47" s="5" t="s">
        <v>170</v>
      </c>
      <c r="B47" s="5" t="n">
        <v>16575</v>
      </c>
      <c r="C47" s="5" t="s">
        <v>73</v>
      </c>
      <c r="D47" s="5" t="s">
        <v>171</v>
      </c>
      <c r="E47" s="5" t="s">
        <v>164</v>
      </c>
      <c r="F47" s="5" t="s">
        <v>75</v>
      </c>
      <c r="G47" s="5" t="s">
        <v>139</v>
      </c>
      <c r="H47" s="5" t="s">
        <v>62</v>
      </c>
      <c r="I47" s="5"/>
      <c r="J47" s="5"/>
      <c r="K47" s="5"/>
      <c r="L47" s="5" t="s">
        <v>63</v>
      </c>
    </row>
    <row r="48" customFormat="false" ht="15" hidden="false" customHeight="false" outlineLevel="0" collapsed="false">
      <c r="A48" s="5" t="s">
        <v>172</v>
      </c>
      <c r="B48" s="5" t="n">
        <v>16500</v>
      </c>
      <c r="C48" s="5" t="s">
        <v>73</v>
      </c>
      <c r="D48" s="5" t="s">
        <v>173</v>
      </c>
      <c r="E48" s="5" t="s">
        <v>164</v>
      </c>
      <c r="F48" s="5" t="s">
        <v>75</v>
      </c>
      <c r="G48" s="5" t="s">
        <v>139</v>
      </c>
      <c r="H48" s="5" t="s">
        <v>62</v>
      </c>
      <c r="I48" s="5"/>
      <c r="J48" s="5"/>
      <c r="K48" s="5"/>
      <c r="L48" s="5" t="s">
        <v>63</v>
      </c>
    </row>
    <row r="49" customFormat="false" ht="15" hidden="false" customHeight="false" outlineLevel="0" collapsed="false">
      <c r="A49" s="5" t="s">
        <v>174</v>
      </c>
      <c r="B49" s="5" t="n">
        <v>16501</v>
      </c>
      <c r="C49" s="5" t="s">
        <v>73</v>
      </c>
      <c r="D49" s="5" t="s">
        <v>175</v>
      </c>
      <c r="E49" s="5" t="s">
        <v>164</v>
      </c>
      <c r="F49" s="5" t="s">
        <v>75</v>
      </c>
      <c r="G49" s="5" t="s">
        <v>139</v>
      </c>
      <c r="H49" s="5" t="s">
        <v>62</v>
      </c>
      <c r="I49" s="5"/>
      <c r="J49" s="5"/>
      <c r="K49" s="5"/>
      <c r="L49" s="5" t="s">
        <v>63</v>
      </c>
    </row>
    <row r="50" customFormat="false" ht="15" hidden="false" customHeight="false" outlineLevel="0" collapsed="false">
      <c r="A50" s="8" t="s">
        <v>176</v>
      </c>
      <c r="B50" s="8" t="n">
        <v>16848</v>
      </c>
      <c r="C50" s="8" t="s">
        <v>37</v>
      </c>
      <c r="D50" s="9" t="s">
        <v>177</v>
      </c>
      <c r="E50" s="8" t="s">
        <v>112</v>
      </c>
      <c r="F50" s="8" t="s">
        <v>71</v>
      </c>
      <c r="G50" s="8" t="s">
        <v>68</v>
      </c>
      <c r="H50" s="8" t="s">
        <v>62</v>
      </c>
      <c r="I50" s="8"/>
      <c r="J50" s="8"/>
      <c r="K50" s="8"/>
      <c r="L50" s="8" t="s">
        <v>63</v>
      </c>
    </row>
    <row r="51" customFormat="false" ht="15" hidden="false" customHeight="false" outlineLevel="0" collapsed="false">
      <c r="A51" s="5" t="s">
        <v>178</v>
      </c>
      <c r="B51" s="5" t="n">
        <v>16849</v>
      </c>
      <c r="C51" s="5" t="s">
        <v>73</v>
      </c>
      <c r="D51" s="5" t="s">
        <v>179</v>
      </c>
      <c r="E51" s="5" t="s">
        <v>176</v>
      </c>
      <c r="F51" s="5" t="s">
        <v>75</v>
      </c>
      <c r="G51" s="5" t="s">
        <v>68</v>
      </c>
      <c r="H51" s="5" t="s">
        <v>62</v>
      </c>
      <c r="I51" s="5"/>
      <c r="J51" s="5"/>
      <c r="K51" s="5"/>
      <c r="L51" s="5" t="s">
        <v>63</v>
      </c>
    </row>
    <row r="52" customFormat="false" ht="15" hidden="false" customHeight="false" outlineLevel="0" collapsed="false">
      <c r="A52" s="5" t="s">
        <v>180</v>
      </c>
      <c r="B52" s="5" t="n">
        <v>16850</v>
      </c>
      <c r="C52" s="5" t="s">
        <v>73</v>
      </c>
      <c r="D52" s="5" t="s">
        <v>181</v>
      </c>
      <c r="E52" s="5" t="s">
        <v>176</v>
      </c>
      <c r="F52" s="5" t="s">
        <v>75</v>
      </c>
      <c r="G52" s="5" t="s">
        <v>68</v>
      </c>
      <c r="H52" s="5" t="s">
        <v>62</v>
      </c>
      <c r="I52" s="5"/>
      <c r="J52" s="5"/>
      <c r="K52" s="5"/>
      <c r="L52" s="5" t="s">
        <v>63</v>
      </c>
    </row>
    <row r="53" customFormat="false" ht="15" hidden="false" customHeight="false" outlineLevel="0" collapsed="false">
      <c r="A53" s="5" t="s">
        <v>182</v>
      </c>
      <c r="B53" s="5" t="n">
        <v>16851</v>
      </c>
      <c r="C53" s="5" t="s">
        <v>73</v>
      </c>
      <c r="D53" s="5" t="s">
        <v>183</v>
      </c>
      <c r="E53" s="5" t="s">
        <v>176</v>
      </c>
      <c r="F53" s="5" t="s">
        <v>75</v>
      </c>
      <c r="G53" s="5" t="s">
        <v>68</v>
      </c>
      <c r="H53" s="5" t="s">
        <v>62</v>
      </c>
      <c r="I53" s="5"/>
      <c r="J53" s="5"/>
      <c r="K53" s="5"/>
      <c r="L53" s="5" t="s">
        <v>63</v>
      </c>
    </row>
    <row r="54" customFormat="false" ht="15" hidden="false" customHeight="false" outlineLevel="0" collapsed="false">
      <c r="A54" s="5" t="s">
        <v>184</v>
      </c>
      <c r="B54" s="5" t="n">
        <v>16852</v>
      </c>
      <c r="C54" s="5" t="s">
        <v>73</v>
      </c>
      <c r="D54" s="5" t="s">
        <v>185</v>
      </c>
      <c r="E54" s="5" t="s">
        <v>176</v>
      </c>
      <c r="F54" s="5" t="s">
        <v>75</v>
      </c>
      <c r="G54" s="5" t="s">
        <v>68</v>
      </c>
      <c r="H54" s="5" t="s">
        <v>62</v>
      </c>
      <c r="I54" s="5"/>
      <c r="J54" s="5"/>
      <c r="K54" s="5"/>
      <c r="L54" s="5" t="s">
        <v>63</v>
      </c>
    </row>
    <row r="55" customFormat="false" ht="15" hidden="false" customHeight="false" outlineLevel="0" collapsed="false">
      <c r="A55" s="5" t="s">
        <v>186</v>
      </c>
      <c r="B55" s="5" t="n">
        <v>16853</v>
      </c>
      <c r="C55" s="5" t="s">
        <v>73</v>
      </c>
      <c r="D55" s="5" t="s">
        <v>187</v>
      </c>
      <c r="E55" s="5" t="s">
        <v>176</v>
      </c>
      <c r="F55" s="5" t="s">
        <v>75</v>
      </c>
      <c r="G55" s="5" t="s">
        <v>68</v>
      </c>
      <c r="H55" s="5" t="s">
        <v>62</v>
      </c>
      <c r="I55" s="5"/>
      <c r="J55" s="5"/>
      <c r="K55" s="5"/>
      <c r="L55" s="5" t="s">
        <v>63</v>
      </c>
    </row>
    <row r="56" customFormat="false" ht="15" hidden="false" customHeight="false" outlineLevel="0" collapsed="false">
      <c r="A56" s="5" t="s">
        <v>188</v>
      </c>
      <c r="B56" s="5" t="n">
        <v>16854</v>
      </c>
      <c r="C56" s="5" t="s">
        <v>73</v>
      </c>
      <c r="D56" s="5" t="s">
        <v>189</v>
      </c>
      <c r="E56" s="5" t="s">
        <v>176</v>
      </c>
      <c r="F56" s="5" t="s">
        <v>75</v>
      </c>
      <c r="G56" s="5" t="s">
        <v>68</v>
      </c>
      <c r="H56" s="5" t="s">
        <v>62</v>
      </c>
      <c r="I56" s="5"/>
      <c r="J56" s="5"/>
      <c r="K56" s="5"/>
      <c r="L56" s="5" t="s">
        <v>63</v>
      </c>
    </row>
    <row r="57" customFormat="false" ht="15" hidden="false" customHeight="false" outlineLevel="0" collapsed="false">
      <c r="A57" s="10" t="s">
        <v>190</v>
      </c>
      <c r="B57" s="10" t="n">
        <v>16855</v>
      </c>
      <c r="C57" s="10" t="s">
        <v>73</v>
      </c>
      <c r="D57" s="10" t="s">
        <v>191</v>
      </c>
      <c r="E57" s="10" t="s">
        <v>176</v>
      </c>
      <c r="F57" s="10" t="s">
        <v>75</v>
      </c>
      <c r="G57" s="10" t="s">
        <v>68</v>
      </c>
      <c r="H57" s="10" t="s">
        <v>192</v>
      </c>
      <c r="I57" s="10" t="s">
        <v>193</v>
      </c>
      <c r="J57" s="10"/>
      <c r="K57" s="10"/>
      <c r="L57" s="10" t="s">
        <v>63</v>
      </c>
    </row>
    <row r="58" customFormat="false" ht="15" hidden="false" customHeight="false" outlineLevel="0" collapsed="false">
      <c r="A58" s="5" t="s">
        <v>194</v>
      </c>
      <c r="B58" s="5" t="n">
        <v>18627</v>
      </c>
      <c r="C58" s="5" t="s">
        <v>73</v>
      </c>
      <c r="D58" s="5" t="s">
        <v>195</v>
      </c>
      <c r="E58" s="5" t="s">
        <v>176</v>
      </c>
      <c r="F58" s="5" t="s">
        <v>75</v>
      </c>
      <c r="G58" s="5" t="s">
        <v>68</v>
      </c>
      <c r="H58" s="5" t="s">
        <v>62</v>
      </c>
      <c r="I58" s="5"/>
      <c r="J58" s="5"/>
      <c r="K58" s="5"/>
      <c r="L58" s="5" t="s">
        <v>63</v>
      </c>
    </row>
    <row r="59" customFormat="false" ht="23.85" hidden="false" customHeight="false" outlineLevel="0" collapsed="false">
      <c r="A59" s="8" t="s">
        <v>196</v>
      </c>
      <c r="B59" s="8" t="n">
        <v>18924</v>
      </c>
      <c r="C59" s="8" t="s">
        <v>37</v>
      </c>
      <c r="D59" s="9" t="s">
        <v>197</v>
      </c>
      <c r="E59" s="8" t="s">
        <v>112</v>
      </c>
      <c r="F59" s="8" t="s">
        <v>71</v>
      </c>
      <c r="G59" s="8" t="s">
        <v>68</v>
      </c>
      <c r="H59" s="8" t="s">
        <v>80</v>
      </c>
      <c r="I59" s="8" t="s">
        <v>198</v>
      </c>
      <c r="J59" s="8"/>
      <c r="K59" s="8"/>
      <c r="L59" s="8" t="s">
        <v>63</v>
      </c>
    </row>
    <row r="60" customFormat="false" ht="15" hidden="false" customHeight="false" outlineLevel="0" collapsed="false">
      <c r="A60" s="5" t="s">
        <v>199</v>
      </c>
      <c r="B60" s="5" t="n">
        <v>20007</v>
      </c>
      <c r="C60" s="5" t="s">
        <v>73</v>
      </c>
      <c r="D60" s="5" t="s">
        <v>200</v>
      </c>
      <c r="E60" s="5" t="s">
        <v>196</v>
      </c>
      <c r="F60" s="5" t="s">
        <v>75</v>
      </c>
      <c r="G60" s="5" t="s">
        <v>68</v>
      </c>
      <c r="H60" s="5" t="s">
        <v>80</v>
      </c>
      <c r="I60" s="5"/>
      <c r="J60" s="5"/>
      <c r="K60" s="5"/>
      <c r="L60" s="5" t="s">
        <v>63</v>
      </c>
    </row>
    <row r="61" customFormat="false" ht="15" hidden="false" customHeight="false" outlineLevel="0" collapsed="false">
      <c r="A61" s="5" t="s">
        <v>201</v>
      </c>
      <c r="B61" s="5" t="n">
        <v>18925</v>
      </c>
      <c r="C61" s="5" t="s">
        <v>73</v>
      </c>
      <c r="D61" s="5" t="s">
        <v>202</v>
      </c>
      <c r="E61" s="5" t="s">
        <v>196</v>
      </c>
      <c r="F61" s="5" t="s">
        <v>75</v>
      </c>
      <c r="G61" s="5" t="s">
        <v>68</v>
      </c>
      <c r="H61" s="5" t="s">
        <v>80</v>
      </c>
      <c r="I61" s="5"/>
      <c r="J61" s="5"/>
      <c r="K61" s="5"/>
      <c r="L61" s="5" t="s">
        <v>63</v>
      </c>
    </row>
    <row r="62" customFormat="false" ht="15" hidden="false" customHeight="false" outlineLevel="0" collapsed="false">
      <c r="A62" s="5" t="s">
        <v>203</v>
      </c>
      <c r="B62" s="5" t="n">
        <v>18926</v>
      </c>
      <c r="C62" s="5" t="s">
        <v>73</v>
      </c>
      <c r="D62" s="5" t="s">
        <v>204</v>
      </c>
      <c r="E62" s="5" t="s">
        <v>196</v>
      </c>
      <c r="F62" s="5" t="s">
        <v>75</v>
      </c>
      <c r="G62" s="5" t="s">
        <v>68</v>
      </c>
      <c r="H62" s="5" t="s">
        <v>80</v>
      </c>
      <c r="I62" s="5"/>
      <c r="J62" s="5"/>
      <c r="K62" s="5"/>
      <c r="L62" s="5" t="s">
        <v>63</v>
      </c>
    </row>
    <row r="63" customFormat="false" ht="23.85" hidden="false" customHeight="false" outlineLevel="0" collapsed="false">
      <c r="A63" s="5" t="s">
        <v>205</v>
      </c>
      <c r="B63" s="5" t="n">
        <v>16633</v>
      </c>
      <c r="C63" s="5" t="s">
        <v>73</v>
      </c>
      <c r="D63" s="5" t="s">
        <v>206</v>
      </c>
      <c r="E63" s="5" t="s">
        <v>196</v>
      </c>
      <c r="F63" s="5" t="s">
        <v>75</v>
      </c>
      <c r="G63" s="5" t="s">
        <v>68</v>
      </c>
      <c r="H63" s="5" t="s">
        <v>80</v>
      </c>
      <c r="I63" s="5"/>
      <c r="J63" s="5"/>
      <c r="K63" s="5"/>
      <c r="L63" s="5" t="s">
        <v>63</v>
      </c>
    </row>
    <row r="64" customFormat="false" ht="23.85" hidden="false" customHeight="false" outlineLevel="0" collapsed="false">
      <c r="A64" s="5" t="s">
        <v>207</v>
      </c>
      <c r="B64" s="5" t="n">
        <v>18927</v>
      </c>
      <c r="C64" s="5" t="s">
        <v>73</v>
      </c>
      <c r="D64" s="5" t="s">
        <v>208</v>
      </c>
      <c r="E64" s="5" t="s">
        <v>196</v>
      </c>
      <c r="F64" s="5" t="s">
        <v>75</v>
      </c>
      <c r="G64" s="5" t="s">
        <v>68</v>
      </c>
      <c r="H64" s="5" t="s">
        <v>80</v>
      </c>
      <c r="I64" s="5"/>
      <c r="J64" s="5"/>
      <c r="K64" s="5"/>
      <c r="L64" s="5" t="s">
        <v>63</v>
      </c>
    </row>
    <row r="65" customFormat="false" ht="23.85" hidden="false" customHeight="false" outlineLevel="0" collapsed="false">
      <c r="A65" s="7" t="s">
        <v>209</v>
      </c>
      <c r="B65" s="7" t="n">
        <v>20008</v>
      </c>
      <c r="C65" s="7" t="s">
        <v>65</v>
      </c>
      <c r="D65" s="7" t="s">
        <v>210</v>
      </c>
      <c r="E65" s="7" t="s">
        <v>57</v>
      </c>
      <c r="F65" s="7" t="s">
        <v>67</v>
      </c>
      <c r="G65" s="7" t="s">
        <v>68</v>
      </c>
      <c r="H65" s="7" t="s">
        <v>62</v>
      </c>
      <c r="I65" s="7"/>
      <c r="J65" s="7"/>
      <c r="K65" s="7"/>
      <c r="L65" s="7" t="s">
        <v>63</v>
      </c>
    </row>
    <row r="66" customFormat="false" ht="23.85" hidden="false" customHeight="false" outlineLevel="0" collapsed="false">
      <c r="A66" s="8" t="s">
        <v>211</v>
      </c>
      <c r="B66" s="8" t="n">
        <v>10148</v>
      </c>
      <c r="C66" s="8" t="s">
        <v>37</v>
      </c>
      <c r="D66" s="9" t="s">
        <v>212</v>
      </c>
      <c r="E66" s="8" t="s">
        <v>209</v>
      </c>
      <c r="F66" s="8" t="s">
        <v>71</v>
      </c>
      <c r="G66" s="8" t="s">
        <v>68</v>
      </c>
      <c r="H66" s="8" t="s">
        <v>62</v>
      </c>
      <c r="I66" s="8"/>
      <c r="J66" s="8"/>
      <c r="K66" s="8"/>
      <c r="L66" s="8" t="s">
        <v>63</v>
      </c>
    </row>
    <row r="67" customFormat="false" ht="15" hidden="false" customHeight="false" outlineLevel="0" collapsed="false">
      <c r="A67" s="8" t="s">
        <v>213</v>
      </c>
      <c r="B67" s="8" t="n">
        <v>10149</v>
      </c>
      <c r="C67" s="8" t="s">
        <v>37</v>
      </c>
      <c r="D67" s="9" t="s">
        <v>214</v>
      </c>
      <c r="E67" s="8" t="s">
        <v>209</v>
      </c>
      <c r="F67" s="8" t="s">
        <v>71</v>
      </c>
      <c r="G67" s="8" t="s">
        <v>68</v>
      </c>
      <c r="H67" s="8" t="s">
        <v>62</v>
      </c>
      <c r="I67" s="8"/>
      <c r="J67" s="8"/>
      <c r="K67" s="8"/>
      <c r="L67" s="8" t="s">
        <v>63</v>
      </c>
    </row>
    <row r="68" customFormat="false" ht="15" hidden="false" customHeight="false" outlineLevel="0" collapsed="false">
      <c r="A68" s="5" t="s">
        <v>215</v>
      </c>
      <c r="B68" s="5" t="n">
        <v>10155</v>
      </c>
      <c r="C68" s="5" t="s">
        <v>73</v>
      </c>
      <c r="D68" s="5" t="s">
        <v>216</v>
      </c>
      <c r="E68" s="5" t="s">
        <v>213</v>
      </c>
      <c r="F68" s="5" t="s">
        <v>75</v>
      </c>
      <c r="G68" s="5" t="s">
        <v>68</v>
      </c>
      <c r="H68" s="5" t="s">
        <v>62</v>
      </c>
      <c r="I68" s="5"/>
      <c r="J68" s="5"/>
      <c r="K68" s="5"/>
      <c r="L68" s="5" t="s">
        <v>63</v>
      </c>
    </row>
    <row r="69" customFormat="false" ht="15" hidden="false" customHeight="false" outlineLevel="0" collapsed="false">
      <c r="A69" s="5" t="s">
        <v>217</v>
      </c>
      <c r="B69" s="5" t="n">
        <v>10156</v>
      </c>
      <c r="C69" s="5" t="s">
        <v>73</v>
      </c>
      <c r="D69" s="5" t="s">
        <v>218</v>
      </c>
      <c r="E69" s="5" t="s">
        <v>213</v>
      </c>
      <c r="F69" s="5" t="s">
        <v>75</v>
      </c>
      <c r="G69" s="5" t="s">
        <v>68</v>
      </c>
      <c r="H69" s="5" t="s">
        <v>62</v>
      </c>
      <c r="I69" s="5"/>
      <c r="J69" s="5"/>
      <c r="K69" s="5"/>
      <c r="L69" s="5" t="s">
        <v>63</v>
      </c>
    </row>
    <row r="70" customFormat="false" ht="15" hidden="false" customHeight="false" outlineLevel="0" collapsed="false">
      <c r="A70" s="5" t="s">
        <v>219</v>
      </c>
      <c r="B70" s="5" t="n">
        <v>10157</v>
      </c>
      <c r="C70" s="5" t="s">
        <v>73</v>
      </c>
      <c r="D70" s="5" t="s">
        <v>220</v>
      </c>
      <c r="E70" s="5" t="s">
        <v>213</v>
      </c>
      <c r="F70" s="5" t="s">
        <v>75</v>
      </c>
      <c r="G70" s="5" t="s">
        <v>68</v>
      </c>
      <c r="H70" s="5" t="s">
        <v>62</v>
      </c>
      <c r="I70" s="5"/>
      <c r="J70" s="5"/>
      <c r="K70" s="5"/>
      <c r="L70" s="5" t="s">
        <v>63</v>
      </c>
    </row>
    <row r="71" customFormat="false" ht="15" hidden="false" customHeight="false" outlineLevel="0" collapsed="false">
      <c r="A71" s="5" t="s">
        <v>221</v>
      </c>
      <c r="B71" s="5" t="n">
        <v>17683</v>
      </c>
      <c r="C71" s="5" t="s">
        <v>73</v>
      </c>
      <c r="D71" s="5" t="s">
        <v>222</v>
      </c>
      <c r="E71" s="5" t="s">
        <v>213</v>
      </c>
      <c r="F71" s="5" t="s">
        <v>75</v>
      </c>
      <c r="G71" s="5" t="s">
        <v>68</v>
      </c>
      <c r="H71" s="5" t="s">
        <v>62</v>
      </c>
      <c r="I71" s="5"/>
      <c r="J71" s="5"/>
      <c r="K71" s="5"/>
      <c r="L71" s="5" t="s">
        <v>63</v>
      </c>
    </row>
    <row r="72" customFormat="false" ht="15" hidden="false" customHeight="false" outlineLevel="0" collapsed="false">
      <c r="A72" s="8" t="s">
        <v>223</v>
      </c>
      <c r="B72" s="8" t="n">
        <v>20593</v>
      </c>
      <c r="C72" s="8" t="s">
        <v>37</v>
      </c>
      <c r="D72" s="9" t="s">
        <v>224</v>
      </c>
      <c r="E72" s="8" t="s">
        <v>209</v>
      </c>
      <c r="F72" s="8" t="s">
        <v>71</v>
      </c>
      <c r="G72" s="8" t="s">
        <v>127</v>
      </c>
      <c r="H72" s="8" t="s">
        <v>62</v>
      </c>
      <c r="I72" s="8"/>
      <c r="J72" s="8"/>
      <c r="K72" s="8"/>
      <c r="L72" s="8" t="s">
        <v>63</v>
      </c>
    </row>
    <row r="73" customFormat="false" ht="23.85" hidden="false" customHeight="false" outlineLevel="0" collapsed="false">
      <c r="A73" s="5" t="s">
        <v>225</v>
      </c>
      <c r="B73" s="5" t="n">
        <v>20009</v>
      </c>
      <c r="C73" s="5" t="s">
        <v>73</v>
      </c>
      <c r="D73" s="5" t="s">
        <v>226</v>
      </c>
      <c r="E73" s="5" t="s">
        <v>223</v>
      </c>
      <c r="F73" s="5" t="s">
        <v>75</v>
      </c>
      <c r="G73" s="5" t="s">
        <v>127</v>
      </c>
      <c r="H73" s="5" t="s">
        <v>62</v>
      </c>
      <c r="I73" s="5"/>
      <c r="J73" s="5"/>
      <c r="K73" s="5"/>
      <c r="L73" s="5" t="s">
        <v>63</v>
      </c>
    </row>
    <row r="74" customFormat="false" ht="23.85" hidden="false" customHeight="false" outlineLevel="0" collapsed="false">
      <c r="A74" s="5" t="s">
        <v>227</v>
      </c>
      <c r="B74" s="5" t="n">
        <v>18948</v>
      </c>
      <c r="C74" s="5" t="s">
        <v>73</v>
      </c>
      <c r="D74" s="5" t="s">
        <v>228</v>
      </c>
      <c r="E74" s="5" t="s">
        <v>223</v>
      </c>
      <c r="F74" s="5" t="s">
        <v>75</v>
      </c>
      <c r="G74" s="5" t="s">
        <v>127</v>
      </c>
      <c r="H74" s="5" t="s">
        <v>80</v>
      </c>
      <c r="I74" s="5" t="s">
        <v>229</v>
      </c>
      <c r="J74" s="5"/>
      <c r="K74" s="5"/>
      <c r="L74" s="5" t="s">
        <v>63</v>
      </c>
    </row>
    <row r="75" customFormat="false" ht="15" hidden="false" customHeight="false" outlineLevel="0" collapsed="false">
      <c r="A75" s="5" t="s">
        <v>230</v>
      </c>
      <c r="B75" s="5" t="n">
        <v>10163</v>
      </c>
      <c r="C75" s="5" t="s">
        <v>73</v>
      </c>
      <c r="D75" s="5" t="s">
        <v>231</v>
      </c>
      <c r="E75" s="5" t="s">
        <v>223</v>
      </c>
      <c r="F75" s="5" t="s">
        <v>75</v>
      </c>
      <c r="G75" s="5" t="s">
        <v>127</v>
      </c>
      <c r="H75" s="5" t="s">
        <v>80</v>
      </c>
      <c r="I75" s="5" t="s">
        <v>232</v>
      </c>
      <c r="J75" s="5"/>
      <c r="K75" s="5"/>
      <c r="L75" s="5" t="s">
        <v>63</v>
      </c>
    </row>
    <row r="76" customFormat="false" ht="15" hidden="false" customHeight="false" outlineLevel="0" collapsed="false">
      <c r="A76" s="5" t="s">
        <v>233</v>
      </c>
      <c r="B76" s="5" t="n">
        <v>10164</v>
      </c>
      <c r="C76" s="5" t="s">
        <v>73</v>
      </c>
      <c r="D76" s="5" t="s">
        <v>234</v>
      </c>
      <c r="E76" s="5" t="s">
        <v>223</v>
      </c>
      <c r="F76" s="5" t="s">
        <v>75</v>
      </c>
      <c r="G76" s="5" t="s">
        <v>127</v>
      </c>
      <c r="H76" s="5" t="s">
        <v>62</v>
      </c>
      <c r="I76" s="5"/>
      <c r="J76" s="5"/>
      <c r="K76" s="5"/>
      <c r="L76" s="5" t="s">
        <v>63</v>
      </c>
    </row>
    <row r="77" customFormat="false" ht="15" hidden="false" customHeight="false" outlineLevel="0" collapsed="false">
      <c r="A77" s="5" t="s">
        <v>235</v>
      </c>
      <c r="B77" s="5" t="n">
        <v>10165</v>
      </c>
      <c r="C77" s="5" t="s">
        <v>73</v>
      </c>
      <c r="D77" s="5" t="s">
        <v>236</v>
      </c>
      <c r="E77" s="5" t="s">
        <v>223</v>
      </c>
      <c r="F77" s="5" t="s">
        <v>75</v>
      </c>
      <c r="G77" s="5" t="s">
        <v>127</v>
      </c>
      <c r="H77" s="5" t="s">
        <v>62</v>
      </c>
      <c r="I77" s="5"/>
      <c r="J77" s="5"/>
      <c r="K77" s="5"/>
      <c r="L77" s="5" t="s">
        <v>63</v>
      </c>
    </row>
    <row r="78" customFormat="false" ht="15" hidden="false" customHeight="false" outlineLevel="0" collapsed="false">
      <c r="A78" s="5" t="s">
        <v>237</v>
      </c>
      <c r="B78" s="5" t="n">
        <v>10166</v>
      </c>
      <c r="C78" s="5" t="s">
        <v>73</v>
      </c>
      <c r="D78" s="5" t="s">
        <v>238</v>
      </c>
      <c r="E78" s="5" t="s">
        <v>223</v>
      </c>
      <c r="F78" s="5" t="s">
        <v>75</v>
      </c>
      <c r="G78" s="5" t="s">
        <v>127</v>
      </c>
      <c r="H78" s="5" t="s">
        <v>62</v>
      </c>
      <c r="I78" s="5"/>
      <c r="J78" s="5"/>
      <c r="K78" s="5"/>
      <c r="L78" s="5" t="s">
        <v>63</v>
      </c>
    </row>
    <row r="79" customFormat="false" ht="15" hidden="false" customHeight="false" outlineLevel="0" collapsed="false">
      <c r="A79" s="10" t="s">
        <v>239</v>
      </c>
      <c r="B79" s="10" t="n">
        <v>11495</v>
      </c>
      <c r="C79" s="10" t="s">
        <v>73</v>
      </c>
      <c r="D79" s="10" t="s">
        <v>240</v>
      </c>
      <c r="E79" s="10" t="s">
        <v>223</v>
      </c>
      <c r="F79" s="10" t="s">
        <v>75</v>
      </c>
      <c r="G79" s="10" t="s">
        <v>127</v>
      </c>
      <c r="H79" s="10" t="s">
        <v>192</v>
      </c>
      <c r="I79" s="10" t="s">
        <v>241</v>
      </c>
      <c r="J79" s="10"/>
      <c r="K79" s="10"/>
      <c r="L79" s="10" t="s">
        <v>63</v>
      </c>
    </row>
    <row r="80" customFormat="false" ht="15" hidden="false" customHeight="false" outlineLevel="0" collapsed="false">
      <c r="A80" s="10" t="s">
        <v>242</v>
      </c>
      <c r="B80" s="10" t="n">
        <v>11496</v>
      </c>
      <c r="C80" s="10" t="s">
        <v>73</v>
      </c>
      <c r="D80" s="10" t="s">
        <v>243</v>
      </c>
      <c r="E80" s="10" t="s">
        <v>223</v>
      </c>
      <c r="F80" s="10" t="s">
        <v>75</v>
      </c>
      <c r="G80" s="10" t="s">
        <v>127</v>
      </c>
      <c r="H80" s="10" t="s">
        <v>192</v>
      </c>
      <c r="I80" s="10" t="s">
        <v>244</v>
      </c>
      <c r="J80" s="10"/>
      <c r="K80" s="10"/>
      <c r="L80" s="10" t="s">
        <v>63</v>
      </c>
    </row>
    <row r="81" customFormat="false" ht="15" hidden="false" customHeight="false" outlineLevel="0" collapsed="false">
      <c r="A81" s="5" t="s">
        <v>245</v>
      </c>
      <c r="B81" s="5" t="n">
        <v>11497</v>
      </c>
      <c r="C81" s="5" t="s">
        <v>73</v>
      </c>
      <c r="D81" s="5" t="s">
        <v>246</v>
      </c>
      <c r="E81" s="5" t="s">
        <v>223</v>
      </c>
      <c r="F81" s="5" t="s">
        <v>75</v>
      </c>
      <c r="G81" s="5" t="s">
        <v>127</v>
      </c>
      <c r="H81" s="5" t="s">
        <v>62</v>
      </c>
      <c r="I81" s="5"/>
      <c r="J81" s="5"/>
      <c r="K81" s="5"/>
      <c r="L81" s="5" t="s">
        <v>63</v>
      </c>
    </row>
    <row r="82" customFormat="false" ht="23.85" hidden="false" customHeight="false" outlineLevel="0" collapsed="false">
      <c r="A82" s="5" t="s">
        <v>247</v>
      </c>
      <c r="B82" s="5" t="n">
        <v>17684</v>
      </c>
      <c r="C82" s="5" t="s">
        <v>73</v>
      </c>
      <c r="D82" s="5" t="s">
        <v>248</v>
      </c>
      <c r="E82" s="5" t="s">
        <v>223</v>
      </c>
      <c r="F82" s="5" t="s">
        <v>75</v>
      </c>
      <c r="G82" s="5" t="s">
        <v>127</v>
      </c>
      <c r="H82" s="5" t="s">
        <v>80</v>
      </c>
      <c r="I82" s="5" t="s">
        <v>249</v>
      </c>
      <c r="J82" s="5"/>
      <c r="K82" s="5"/>
      <c r="L82" s="5" t="s">
        <v>63</v>
      </c>
    </row>
    <row r="83" customFormat="false" ht="15" hidden="false" customHeight="false" outlineLevel="0" collapsed="false">
      <c r="A83" s="8" t="s">
        <v>250</v>
      </c>
      <c r="B83" s="8" t="n">
        <v>20010</v>
      </c>
      <c r="C83" s="8" t="s">
        <v>37</v>
      </c>
      <c r="D83" s="9" t="s">
        <v>251</v>
      </c>
      <c r="E83" s="8" t="s">
        <v>209</v>
      </c>
      <c r="F83" s="8" t="s">
        <v>71</v>
      </c>
      <c r="G83" s="8" t="s">
        <v>68</v>
      </c>
      <c r="H83" s="8" t="s">
        <v>62</v>
      </c>
      <c r="I83" s="8"/>
      <c r="J83" s="8"/>
      <c r="K83" s="8"/>
      <c r="L83" s="8" t="s">
        <v>63</v>
      </c>
    </row>
    <row r="84" customFormat="false" ht="15" hidden="false" customHeight="false" outlineLevel="0" collapsed="false">
      <c r="A84" s="5" t="s">
        <v>252</v>
      </c>
      <c r="B84" s="5" t="n">
        <v>10167</v>
      </c>
      <c r="C84" s="5" t="s">
        <v>73</v>
      </c>
      <c r="D84" s="5" t="s">
        <v>253</v>
      </c>
      <c r="E84" s="5" t="s">
        <v>250</v>
      </c>
      <c r="F84" s="5" t="s">
        <v>75</v>
      </c>
      <c r="G84" s="5" t="s">
        <v>68</v>
      </c>
      <c r="H84" s="5" t="s">
        <v>62</v>
      </c>
      <c r="I84" s="5"/>
      <c r="J84" s="5"/>
      <c r="K84" s="5"/>
      <c r="L84" s="5" t="s">
        <v>63</v>
      </c>
    </row>
    <row r="85" customFormat="false" ht="15" hidden="false" customHeight="false" outlineLevel="0" collapsed="false">
      <c r="A85" s="5" t="s">
        <v>254</v>
      </c>
      <c r="B85" s="5" t="n">
        <v>10159</v>
      </c>
      <c r="C85" s="5" t="s">
        <v>73</v>
      </c>
      <c r="D85" s="5" t="s">
        <v>255</v>
      </c>
      <c r="E85" s="5" t="s">
        <v>250</v>
      </c>
      <c r="F85" s="5" t="s">
        <v>75</v>
      </c>
      <c r="G85" s="5" t="s">
        <v>68</v>
      </c>
      <c r="H85" s="5" t="s">
        <v>62</v>
      </c>
      <c r="I85" s="5"/>
      <c r="J85" s="5"/>
      <c r="K85" s="5"/>
      <c r="L85" s="5" t="s">
        <v>63</v>
      </c>
    </row>
    <row r="86" customFormat="false" ht="15" hidden="false" customHeight="false" outlineLevel="0" collapsed="false">
      <c r="A86" s="5" t="s">
        <v>256</v>
      </c>
      <c r="B86" s="5" t="n">
        <v>10160</v>
      </c>
      <c r="C86" s="5" t="s">
        <v>73</v>
      </c>
      <c r="D86" s="5" t="s">
        <v>257</v>
      </c>
      <c r="E86" s="5" t="s">
        <v>250</v>
      </c>
      <c r="F86" s="5" t="s">
        <v>75</v>
      </c>
      <c r="G86" s="5" t="s">
        <v>68</v>
      </c>
      <c r="H86" s="5" t="s">
        <v>62</v>
      </c>
      <c r="I86" s="5"/>
      <c r="J86" s="5"/>
      <c r="K86" s="5"/>
      <c r="L86" s="5" t="s">
        <v>63</v>
      </c>
    </row>
    <row r="87" customFormat="false" ht="15" hidden="false" customHeight="false" outlineLevel="0" collapsed="false">
      <c r="A87" s="5" t="s">
        <v>258</v>
      </c>
      <c r="B87" s="5" t="n">
        <v>10168</v>
      </c>
      <c r="C87" s="5" t="s">
        <v>73</v>
      </c>
      <c r="D87" s="5" t="s">
        <v>259</v>
      </c>
      <c r="E87" s="5" t="s">
        <v>250</v>
      </c>
      <c r="F87" s="5" t="s">
        <v>75</v>
      </c>
      <c r="G87" s="5" t="s">
        <v>68</v>
      </c>
      <c r="H87" s="5" t="s">
        <v>62</v>
      </c>
      <c r="I87" s="5"/>
      <c r="J87" s="5"/>
      <c r="K87" s="5"/>
      <c r="L87" s="5" t="s">
        <v>63</v>
      </c>
    </row>
    <row r="88" customFormat="false" ht="15" hidden="false" customHeight="false" outlineLevel="0" collapsed="false">
      <c r="A88" s="5" t="s">
        <v>260</v>
      </c>
      <c r="B88" s="5" t="n">
        <v>10169</v>
      </c>
      <c r="C88" s="5" t="s">
        <v>73</v>
      </c>
      <c r="D88" s="5" t="s">
        <v>261</v>
      </c>
      <c r="E88" s="5" t="s">
        <v>250</v>
      </c>
      <c r="F88" s="5" t="s">
        <v>75</v>
      </c>
      <c r="G88" s="5" t="s">
        <v>68</v>
      </c>
      <c r="H88" s="5" t="s">
        <v>62</v>
      </c>
      <c r="I88" s="5"/>
      <c r="J88" s="5"/>
      <c r="K88" s="5"/>
      <c r="L88" s="5" t="s">
        <v>63</v>
      </c>
    </row>
    <row r="89" customFormat="false" ht="15" hidden="false" customHeight="false" outlineLevel="0" collapsed="false">
      <c r="A89" s="5" t="s">
        <v>262</v>
      </c>
      <c r="B89" s="5" t="n">
        <v>10170</v>
      </c>
      <c r="C89" s="5" t="s">
        <v>73</v>
      </c>
      <c r="D89" s="5" t="s">
        <v>263</v>
      </c>
      <c r="E89" s="5" t="s">
        <v>250</v>
      </c>
      <c r="F89" s="5" t="s">
        <v>75</v>
      </c>
      <c r="G89" s="5" t="s">
        <v>68</v>
      </c>
      <c r="H89" s="5" t="s">
        <v>62</v>
      </c>
      <c r="I89" s="5"/>
      <c r="J89" s="5"/>
      <c r="K89" s="5"/>
      <c r="L89" s="5" t="s">
        <v>63</v>
      </c>
    </row>
    <row r="90" customFormat="false" ht="15" hidden="false" customHeight="false" outlineLevel="0" collapsed="false">
      <c r="A90" s="5" t="s">
        <v>264</v>
      </c>
      <c r="B90" s="5" t="n">
        <v>10171</v>
      </c>
      <c r="C90" s="5" t="s">
        <v>73</v>
      </c>
      <c r="D90" s="5" t="s">
        <v>265</v>
      </c>
      <c r="E90" s="5" t="s">
        <v>250</v>
      </c>
      <c r="F90" s="5" t="s">
        <v>75</v>
      </c>
      <c r="G90" s="5" t="s">
        <v>68</v>
      </c>
      <c r="H90" s="5" t="s">
        <v>62</v>
      </c>
      <c r="I90" s="5"/>
      <c r="J90" s="5"/>
      <c r="K90" s="5"/>
      <c r="L90" s="5" t="s">
        <v>63</v>
      </c>
    </row>
    <row r="91" customFormat="false" ht="23.85" hidden="false" customHeight="false" outlineLevel="0" collapsed="false">
      <c r="A91" s="5" t="s">
        <v>266</v>
      </c>
      <c r="B91" s="5" t="n">
        <v>10172</v>
      </c>
      <c r="C91" s="5" t="s">
        <v>73</v>
      </c>
      <c r="D91" s="5" t="s">
        <v>267</v>
      </c>
      <c r="E91" s="5" t="s">
        <v>250</v>
      </c>
      <c r="F91" s="5" t="s">
        <v>75</v>
      </c>
      <c r="G91" s="5" t="s">
        <v>68</v>
      </c>
      <c r="H91" s="5" t="s">
        <v>62</v>
      </c>
      <c r="I91" s="5"/>
      <c r="J91" s="5"/>
      <c r="K91" s="5"/>
      <c r="L91" s="5" t="s">
        <v>63</v>
      </c>
    </row>
    <row r="92" customFormat="false" ht="23.85" hidden="false" customHeight="false" outlineLevel="0" collapsed="false">
      <c r="A92" s="11" t="s">
        <v>268</v>
      </c>
      <c r="B92" s="5"/>
      <c r="C92" s="5" t="s">
        <v>73</v>
      </c>
      <c r="D92" s="5" t="s">
        <v>269</v>
      </c>
      <c r="E92" s="5" t="s">
        <v>250</v>
      </c>
      <c r="F92" s="5" t="s">
        <v>75</v>
      </c>
      <c r="G92" s="5" t="s">
        <v>68</v>
      </c>
      <c r="H92" s="5" t="s">
        <v>270</v>
      </c>
      <c r="I92" s="5" t="s">
        <v>271</v>
      </c>
      <c r="J92" s="5" t="s">
        <v>272</v>
      </c>
      <c r="K92" s="5"/>
      <c r="L92" s="11" t="s">
        <v>270</v>
      </c>
    </row>
    <row r="93" customFormat="false" ht="15" hidden="false" customHeight="false" outlineLevel="0" collapsed="false">
      <c r="A93" s="8" t="s">
        <v>273</v>
      </c>
      <c r="B93" s="8" t="n">
        <v>10153</v>
      </c>
      <c r="C93" s="8" t="s">
        <v>37</v>
      </c>
      <c r="D93" s="9" t="s">
        <v>274</v>
      </c>
      <c r="E93" s="8" t="s">
        <v>209</v>
      </c>
      <c r="F93" s="8" t="s">
        <v>71</v>
      </c>
      <c r="G93" s="8" t="s">
        <v>68</v>
      </c>
      <c r="H93" s="8" t="s">
        <v>62</v>
      </c>
      <c r="I93" s="8"/>
      <c r="J93" s="8"/>
      <c r="K93" s="8"/>
      <c r="L93" s="8" t="s">
        <v>63</v>
      </c>
    </row>
    <row r="94" customFormat="false" ht="23.85" hidden="false" customHeight="false" outlineLevel="0" collapsed="false">
      <c r="A94" s="5" t="s">
        <v>275</v>
      </c>
      <c r="B94" s="5" t="n">
        <v>10173</v>
      </c>
      <c r="C94" s="5" t="s">
        <v>73</v>
      </c>
      <c r="D94" s="5" t="s">
        <v>276</v>
      </c>
      <c r="E94" s="5" t="s">
        <v>273</v>
      </c>
      <c r="F94" s="5" t="s">
        <v>75</v>
      </c>
      <c r="G94" s="5" t="s">
        <v>68</v>
      </c>
      <c r="H94" s="5" t="s">
        <v>80</v>
      </c>
      <c r="I94" s="5" t="s">
        <v>277</v>
      </c>
      <c r="J94" s="5"/>
      <c r="K94" s="5"/>
      <c r="L94" s="5" t="s">
        <v>63</v>
      </c>
    </row>
    <row r="95" customFormat="false" ht="15" hidden="false" customHeight="false" outlineLevel="0" collapsed="false">
      <c r="A95" s="5" t="s">
        <v>278</v>
      </c>
      <c r="B95" s="5" t="n">
        <v>10174</v>
      </c>
      <c r="C95" s="5" t="s">
        <v>73</v>
      </c>
      <c r="D95" s="5" t="s">
        <v>279</v>
      </c>
      <c r="E95" s="5" t="s">
        <v>273</v>
      </c>
      <c r="F95" s="5" t="s">
        <v>75</v>
      </c>
      <c r="G95" s="5" t="s">
        <v>68</v>
      </c>
      <c r="H95" s="5" t="s">
        <v>80</v>
      </c>
      <c r="I95" s="5" t="s">
        <v>280</v>
      </c>
      <c r="J95" s="5"/>
      <c r="K95" s="5"/>
      <c r="L95" s="5" t="s">
        <v>63</v>
      </c>
    </row>
    <row r="96" customFormat="false" ht="15" hidden="false" customHeight="false" outlineLevel="0" collapsed="false">
      <c r="A96" s="5" t="s">
        <v>281</v>
      </c>
      <c r="B96" s="5" t="n">
        <v>10175</v>
      </c>
      <c r="C96" s="5" t="s">
        <v>73</v>
      </c>
      <c r="D96" s="5" t="s">
        <v>282</v>
      </c>
      <c r="E96" s="5" t="s">
        <v>273</v>
      </c>
      <c r="F96" s="5" t="s">
        <v>75</v>
      </c>
      <c r="G96" s="5" t="s">
        <v>68</v>
      </c>
      <c r="H96" s="5" t="s">
        <v>62</v>
      </c>
      <c r="I96" s="5"/>
      <c r="J96" s="5"/>
      <c r="K96" s="5"/>
      <c r="L96" s="5" t="s">
        <v>63</v>
      </c>
    </row>
    <row r="97" customFormat="false" ht="15" hidden="false" customHeight="false" outlineLevel="0" collapsed="false">
      <c r="A97" s="5" t="s">
        <v>283</v>
      </c>
      <c r="B97" s="5" t="n">
        <v>10176</v>
      </c>
      <c r="C97" s="5" t="s">
        <v>73</v>
      </c>
      <c r="D97" s="5" t="s">
        <v>284</v>
      </c>
      <c r="E97" s="5" t="s">
        <v>273</v>
      </c>
      <c r="F97" s="5" t="s">
        <v>75</v>
      </c>
      <c r="G97" s="5" t="s">
        <v>68</v>
      </c>
      <c r="H97" s="5" t="s">
        <v>62</v>
      </c>
      <c r="I97" s="5"/>
      <c r="J97" s="5"/>
      <c r="K97" s="5"/>
      <c r="L97" s="5" t="s">
        <v>63</v>
      </c>
    </row>
    <row r="98" customFormat="false" ht="23.85" hidden="false" customHeight="false" outlineLevel="0" collapsed="false">
      <c r="A98" s="5" t="s">
        <v>285</v>
      </c>
      <c r="B98" s="5" t="n">
        <v>10177</v>
      </c>
      <c r="C98" s="5" t="s">
        <v>73</v>
      </c>
      <c r="D98" s="5" t="s">
        <v>286</v>
      </c>
      <c r="E98" s="5" t="s">
        <v>273</v>
      </c>
      <c r="F98" s="5" t="s">
        <v>75</v>
      </c>
      <c r="G98" s="5" t="s">
        <v>68</v>
      </c>
      <c r="H98" s="5" t="s">
        <v>62</v>
      </c>
      <c r="I98" s="5"/>
      <c r="J98" s="5"/>
      <c r="K98" s="5"/>
      <c r="L98" s="5" t="s">
        <v>63</v>
      </c>
    </row>
    <row r="99" customFormat="false" ht="15" hidden="false" customHeight="false" outlineLevel="0" collapsed="false">
      <c r="A99" s="8" t="s">
        <v>287</v>
      </c>
      <c r="B99" s="8" t="n">
        <v>16613</v>
      </c>
      <c r="C99" s="8" t="s">
        <v>37</v>
      </c>
      <c r="D99" s="9" t="s">
        <v>288</v>
      </c>
      <c r="E99" s="8" t="s">
        <v>209</v>
      </c>
      <c r="F99" s="8" t="s">
        <v>71</v>
      </c>
      <c r="G99" s="8" t="s">
        <v>68</v>
      </c>
      <c r="H99" s="8" t="s">
        <v>62</v>
      </c>
      <c r="I99" s="8"/>
      <c r="J99" s="8"/>
      <c r="K99" s="8"/>
      <c r="L99" s="8" t="s">
        <v>63</v>
      </c>
    </row>
    <row r="100" customFormat="false" ht="15" hidden="false" customHeight="false" outlineLevel="0" collapsed="false">
      <c r="A100" s="5" t="s">
        <v>289</v>
      </c>
      <c r="B100" s="5" t="n">
        <v>16627</v>
      </c>
      <c r="C100" s="5" t="s">
        <v>73</v>
      </c>
      <c r="D100" s="5" t="s">
        <v>290</v>
      </c>
      <c r="E100" s="5" t="s">
        <v>287</v>
      </c>
      <c r="F100" s="5" t="s">
        <v>75</v>
      </c>
      <c r="G100" s="5" t="s">
        <v>68</v>
      </c>
      <c r="H100" s="5" t="s">
        <v>80</v>
      </c>
      <c r="I100" s="5"/>
      <c r="J100" s="5"/>
      <c r="K100" s="5"/>
      <c r="L100" s="5" t="s">
        <v>63</v>
      </c>
    </row>
    <row r="101" customFormat="false" ht="15" hidden="false" customHeight="false" outlineLevel="0" collapsed="false">
      <c r="A101" s="5" t="s">
        <v>291</v>
      </c>
      <c r="B101" s="5" t="n">
        <v>16614</v>
      </c>
      <c r="C101" s="5" t="s">
        <v>73</v>
      </c>
      <c r="D101" s="5" t="s">
        <v>292</v>
      </c>
      <c r="E101" s="5" t="s">
        <v>287</v>
      </c>
      <c r="F101" s="5" t="s">
        <v>75</v>
      </c>
      <c r="G101" s="5" t="s">
        <v>68</v>
      </c>
      <c r="H101" s="5" t="s">
        <v>62</v>
      </c>
      <c r="I101" s="5"/>
      <c r="J101" s="5"/>
      <c r="K101" s="5"/>
      <c r="L101" s="5" t="s">
        <v>63</v>
      </c>
    </row>
    <row r="102" customFormat="false" ht="15" hidden="false" customHeight="false" outlineLevel="0" collapsed="false">
      <c r="A102" s="5" t="s">
        <v>293</v>
      </c>
      <c r="B102" s="5" t="n">
        <v>16615</v>
      </c>
      <c r="C102" s="5" t="s">
        <v>73</v>
      </c>
      <c r="D102" s="5" t="s">
        <v>294</v>
      </c>
      <c r="E102" s="5" t="s">
        <v>287</v>
      </c>
      <c r="F102" s="5" t="s">
        <v>75</v>
      </c>
      <c r="G102" s="5" t="s">
        <v>68</v>
      </c>
      <c r="H102" s="5" t="s">
        <v>80</v>
      </c>
      <c r="I102" s="5" t="s">
        <v>295</v>
      </c>
      <c r="J102" s="5"/>
      <c r="K102" s="5"/>
      <c r="L102" s="5" t="s">
        <v>63</v>
      </c>
    </row>
    <row r="103" customFormat="false" ht="15" hidden="false" customHeight="false" outlineLevel="0" collapsed="false">
      <c r="A103" s="5" t="s">
        <v>296</v>
      </c>
      <c r="B103" s="5" t="n">
        <v>16616</v>
      </c>
      <c r="C103" s="5" t="s">
        <v>73</v>
      </c>
      <c r="D103" s="5" t="s">
        <v>297</v>
      </c>
      <c r="E103" s="5" t="s">
        <v>287</v>
      </c>
      <c r="F103" s="5" t="s">
        <v>75</v>
      </c>
      <c r="G103" s="5" t="s">
        <v>68</v>
      </c>
      <c r="H103" s="5" t="s">
        <v>62</v>
      </c>
      <c r="I103" s="5"/>
      <c r="J103" s="5"/>
      <c r="K103" s="5"/>
      <c r="L103" s="5" t="s">
        <v>63</v>
      </c>
    </row>
    <row r="104" customFormat="false" ht="23.85" hidden="false" customHeight="false" outlineLevel="0" collapsed="false">
      <c r="A104" s="5" t="s">
        <v>298</v>
      </c>
      <c r="B104" s="5" t="n">
        <v>16617</v>
      </c>
      <c r="C104" s="5" t="s">
        <v>73</v>
      </c>
      <c r="D104" s="5" t="s">
        <v>299</v>
      </c>
      <c r="E104" s="5" t="s">
        <v>287</v>
      </c>
      <c r="F104" s="5" t="s">
        <v>75</v>
      </c>
      <c r="G104" s="5" t="s">
        <v>68</v>
      </c>
      <c r="H104" s="5" t="s">
        <v>62</v>
      </c>
      <c r="I104" s="5"/>
      <c r="J104" s="5"/>
      <c r="K104" s="5"/>
      <c r="L104" s="5" t="s">
        <v>63</v>
      </c>
    </row>
    <row r="105" customFormat="false" ht="23.85" hidden="false" customHeight="false" outlineLevel="0" collapsed="false">
      <c r="A105" s="12" t="s">
        <v>300</v>
      </c>
      <c r="B105" s="12" t="n">
        <v>10154</v>
      </c>
      <c r="C105" s="12" t="s">
        <v>37</v>
      </c>
      <c r="D105" s="12" t="s">
        <v>301</v>
      </c>
      <c r="E105" s="12" t="s">
        <v>209</v>
      </c>
      <c r="F105" s="12" t="s">
        <v>71</v>
      </c>
      <c r="G105" s="12" t="s">
        <v>68</v>
      </c>
      <c r="H105" s="12" t="s">
        <v>192</v>
      </c>
      <c r="I105" s="12" t="s">
        <v>302</v>
      </c>
      <c r="J105" s="12"/>
      <c r="K105" s="12"/>
      <c r="L105" s="12" t="s">
        <v>63</v>
      </c>
    </row>
    <row r="106" customFormat="false" ht="15" hidden="false" customHeight="false" outlineLevel="0" collapsed="false">
      <c r="A106" s="10" t="s">
        <v>303</v>
      </c>
      <c r="B106" s="10" t="n">
        <v>10178</v>
      </c>
      <c r="C106" s="10" t="s">
        <v>73</v>
      </c>
      <c r="D106" s="10" t="s">
        <v>304</v>
      </c>
      <c r="E106" s="10" t="s">
        <v>300</v>
      </c>
      <c r="F106" s="10" t="s">
        <v>75</v>
      </c>
      <c r="G106" s="10" t="s">
        <v>68</v>
      </c>
      <c r="H106" s="10" t="s">
        <v>192</v>
      </c>
      <c r="I106" s="10"/>
      <c r="J106" s="10"/>
      <c r="K106" s="10"/>
      <c r="L106" s="10" t="s">
        <v>63</v>
      </c>
    </row>
    <row r="107" customFormat="false" ht="15" hidden="false" customHeight="false" outlineLevel="0" collapsed="false">
      <c r="A107" s="10" t="s">
        <v>305</v>
      </c>
      <c r="B107" s="10" t="n">
        <v>10179</v>
      </c>
      <c r="C107" s="10" t="s">
        <v>73</v>
      </c>
      <c r="D107" s="10" t="s">
        <v>306</v>
      </c>
      <c r="E107" s="10" t="s">
        <v>300</v>
      </c>
      <c r="F107" s="10" t="s">
        <v>75</v>
      </c>
      <c r="G107" s="10" t="s">
        <v>68</v>
      </c>
      <c r="H107" s="10" t="s">
        <v>192</v>
      </c>
      <c r="I107" s="10"/>
      <c r="J107" s="10"/>
      <c r="K107" s="10"/>
      <c r="L107" s="10" t="s">
        <v>63</v>
      </c>
    </row>
    <row r="108" customFormat="false" ht="15" hidden="false" customHeight="false" outlineLevel="0" collapsed="false">
      <c r="A108" s="10" t="s">
        <v>307</v>
      </c>
      <c r="B108" s="10" t="n">
        <v>10180</v>
      </c>
      <c r="C108" s="10" t="s">
        <v>73</v>
      </c>
      <c r="D108" s="10" t="s">
        <v>308</v>
      </c>
      <c r="E108" s="10" t="s">
        <v>300</v>
      </c>
      <c r="F108" s="10" t="s">
        <v>75</v>
      </c>
      <c r="G108" s="10" t="s">
        <v>68</v>
      </c>
      <c r="H108" s="10" t="s">
        <v>192</v>
      </c>
      <c r="I108" s="10"/>
      <c r="J108" s="10"/>
      <c r="K108" s="10"/>
      <c r="L108" s="10" t="s">
        <v>63</v>
      </c>
    </row>
    <row r="109" customFormat="false" ht="15" hidden="false" customHeight="false" outlineLevel="0" collapsed="false">
      <c r="A109" s="10" t="s">
        <v>309</v>
      </c>
      <c r="B109" s="10" t="n">
        <v>10181</v>
      </c>
      <c r="C109" s="10" t="s">
        <v>73</v>
      </c>
      <c r="D109" s="10" t="s">
        <v>310</v>
      </c>
      <c r="E109" s="10" t="s">
        <v>300</v>
      </c>
      <c r="F109" s="10" t="s">
        <v>75</v>
      </c>
      <c r="G109" s="10" t="s">
        <v>68</v>
      </c>
      <c r="H109" s="10" t="s">
        <v>192</v>
      </c>
      <c r="I109" s="10"/>
      <c r="J109" s="10"/>
      <c r="K109" s="10"/>
      <c r="L109" s="10" t="s">
        <v>63</v>
      </c>
    </row>
    <row r="110" customFormat="false" ht="23.85" hidden="false" customHeight="false" outlineLevel="0" collapsed="false">
      <c r="A110" s="7" t="s">
        <v>311</v>
      </c>
      <c r="B110" s="7" t="n">
        <v>10103</v>
      </c>
      <c r="C110" s="7" t="s">
        <v>65</v>
      </c>
      <c r="D110" s="7" t="s">
        <v>312</v>
      </c>
      <c r="E110" s="7" t="s">
        <v>57</v>
      </c>
      <c r="F110" s="7" t="s">
        <v>67</v>
      </c>
      <c r="G110" s="7" t="s">
        <v>313</v>
      </c>
      <c r="H110" s="7" t="s">
        <v>62</v>
      </c>
      <c r="I110" s="7"/>
      <c r="J110" s="7"/>
      <c r="K110" s="7"/>
      <c r="L110" s="7" t="s">
        <v>63</v>
      </c>
    </row>
    <row r="111" customFormat="false" ht="23.85" hidden="false" customHeight="false" outlineLevel="0" collapsed="false">
      <c r="A111" s="8" t="s">
        <v>314</v>
      </c>
      <c r="B111" s="8" t="n">
        <v>10129</v>
      </c>
      <c r="C111" s="8" t="s">
        <v>37</v>
      </c>
      <c r="D111" s="9" t="s">
        <v>315</v>
      </c>
      <c r="E111" s="8" t="s">
        <v>311</v>
      </c>
      <c r="F111" s="8" t="s">
        <v>71</v>
      </c>
      <c r="G111" s="8" t="s">
        <v>313</v>
      </c>
      <c r="H111" s="8" t="s">
        <v>80</v>
      </c>
      <c r="I111" s="8" t="s">
        <v>316</v>
      </c>
      <c r="J111" s="8"/>
      <c r="K111" s="8"/>
      <c r="L111" s="8" t="s">
        <v>63</v>
      </c>
    </row>
    <row r="112" customFormat="false" ht="15" hidden="false" customHeight="false" outlineLevel="0" collapsed="false">
      <c r="A112" s="5" t="s">
        <v>317</v>
      </c>
      <c r="B112" s="5" t="n">
        <v>10134</v>
      </c>
      <c r="C112" s="5" t="s">
        <v>73</v>
      </c>
      <c r="D112" s="5" t="s">
        <v>318</v>
      </c>
      <c r="E112" s="5" t="s">
        <v>314</v>
      </c>
      <c r="F112" s="5" t="s">
        <v>75</v>
      </c>
      <c r="G112" s="5" t="s">
        <v>313</v>
      </c>
      <c r="H112" s="5" t="s">
        <v>80</v>
      </c>
      <c r="I112" s="5" t="s">
        <v>319</v>
      </c>
      <c r="J112" s="5"/>
      <c r="K112" s="5"/>
      <c r="L112" s="5" t="s">
        <v>63</v>
      </c>
    </row>
    <row r="113" customFormat="false" ht="15" hidden="false" customHeight="false" outlineLevel="0" collapsed="false">
      <c r="A113" s="5" t="s">
        <v>320</v>
      </c>
      <c r="B113" s="5" t="n">
        <v>10135</v>
      </c>
      <c r="C113" s="5" t="s">
        <v>73</v>
      </c>
      <c r="D113" s="5" t="s">
        <v>321</v>
      </c>
      <c r="E113" s="5" t="s">
        <v>314</v>
      </c>
      <c r="F113" s="5" t="s">
        <v>75</v>
      </c>
      <c r="G113" s="5" t="s">
        <v>313</v>
      </c>
      <c r="H113" s="5" t="s">
        <v>62</v>
      </c>
      <c r="I113" s="5"/>
      <c r="J113" s="5"/>
      <c r="K113" s="5"/>
      <c r="L113" s="5" t="s">
        <v>63</v>
      </c>
    </row>
    <row r="114" customFormat="false" ht="15" hidden="false" customHeight="false" outlineLevel="0" collapsed="false">
      <c r="A114" s="5" t="s">
        <v>322</v>
      </c>
      <c r="B114" s="5" t="n">
        <v>10136</v>
      </c>
      <c r="C114" s="5" t="s">
        <v>73</v>
      </c>
      <c r="D114" s="5" t="s">
        <v>323</v>
      </c>
      <c r="E114" s="5" t="s">
        <v>314</v>
      </c>
      <c r="F114" s="5" t="s">
        <v>75</v>
      </c>
      <c r="G114" s="5" t="s">
        <v>313</v>
      </c>
      <c r="H114" s="5" t="s">
        <v>62</v>
      </c>
      <c r="I114" s="5"/>
      <c r="J114" s="5"/>
      <c r="K114" s="5"/>
      <c r="L114" s="5" t="s">
        <v>63</v>
      </c>
    </row>
    <row r="115" customFormat="false" ht="15" hidden="false" customHeight="false" outlineLevel="0" collapsed="false">
      <c r="A115" s="10" t="s">
        <v>324</v>
      </c>
      <c r="B115" s="10" t="n">
        <v>10137</v>
      </c>
      <c r="C115" s="10" t="s">
        <v>73</v>
      </c>
      <c r="D115" s="10" t="s">
        <v>325</v>
      </c>
      <c r="E115" s="10" t="s">
        <v>314</v>
      </c>
      <c r="F115" s="10" t="s">
        <v>75</v>
      </c>
      <c r="G115" s="10" t="s">
        <v>313</v>
      </c>
      <c r="H115" s="10" t="s">
        <v>192</v>
      </c>
      <c r="I115" s="10" t="s">
        <v>326</v>
      </c>
      <c r="J115" s="10"/>
      <c r="K115" s="10"/>
      <c r="L115" s="10" t="s">
        <v>63</v>
      </c>
    </row>
    <row r="116" customFormat="false" ht="15" hidden="false" customHeight="false" outlineLevel="0" collapsed="false">
      <c r="A116" s="8" t="s">
        <v>327</v>
      </c>
      <c r="B116" s="8" t="n">
        <v>10130</v>
      </c>
      <c r="C116" s="8" t="s">
        <v>37</v>
      </c>
      <c r="D116" s="9" t="s">
        <v>328</v>
      </c>
      <c r="E116" s="8" t="s">
        <v>311</v>
      </c>
      <c r="F116" s="8" t="s">
        <v>71</v>
      </c>
      <c r="G116" s="8" t="s">
        <v>139</v>
      </c>
      <c r="H116" s="8" t="s">
        <v>80</v>
      </c>
      <c r="I116" s="8" t="s">
        <v>329</v>
      </c>
      <c r="J116" s="8"/>
      <c r="K116" s="8"/>
      <c r="L116" s="8" t="s">
        <v>63</v>
      </c>
    </row>
    <row r="117" customFormat="false" ht="15" hidden="false" customHeight="false" outlineLevel="0" collapsed="false">
      <c r="A117" s="5" t="s">
        <v>330</v>
      </c>
      <c r="B117" s="5" t="n">
        <v>10138</v>
      </c>
      <c r="C117" s="5" t="s">
        <v>73</v>
      </c>
      <c r="D117" s="5" t="s">
        <v>331</v>
      </c>
      <c r="E117" s="5" t="s">
        <v>327</v>
      </c>
      <c r="F117" s="5" t="s">
        <v>75</v>
      </c>
      <c r="G117" s="5" t="s">
        <v>139</v>
      </c>
      <c r="H117" s="5" t="s">
        <v>62</v>
      </c>
      <c r="I117" s="5"/>
      <c r="J117" s="5"/>
      <c r="K117" s="5"/>
      <c r="L117" s="5" t="s">
        <v>63</v>
      </c>
    </row>
    <row r="118" customFormat="false" ht="23.85" hidden="false" customHeight="false" outlineLevel="0" collapsed="false">
      <c r="A118" s="5" t="s">
        <v>332</v>
      </c>
      <c r="B118" s="5" t="n">
        <v>10139</v>
      </c>
      <c r="C118" s="5" t="s">
        <v>73</v>
      </c>
      <c r="D118" s="5" t="s">
        <v>333</v>
      </c>
      <c r="E118" s="5" t="s">
        <v>327</v>
      </c>
      <c r="F118" s="5" t="s">
        <v>75</v>
      </c>
      <c r="G118" s="5" t="s">
        <v>139</v>
      </c>
      <c r="H118" s="5" t="s">
        <v>62</v>
      </c>
      <c r="I118" s="5"/>
      <c r="J118" s="5"/>
      <c r="K118" s="5"/>
      <c r="L118" s="5" t="s">
        <v>63</v>
      </c>
    </row>
    <row r="119" customFormat="false" ht="15" hidden="false" customHeight="false" outlineLevel="0" collapsed="false">
      <c r="A119" s="5" t="s">
        <v>334</v>
      </c>
      <c r="B119" s="5" t="n">
        <v>10140</v>
      </c>
      <c r="C119" s="5" t="s">
        <v>73</v>
      </c>
      <c r="D119" s="5" t="s">
        <v>335</v>
      </c>
      <c r="E119" s="5" t="s">
        <v>327</v>
      </c>
      <c r="F119" s="5" t="s">
        <v>75</v>
      </c>
      <c r="G119" s="5" t="s">
        <v>139</v>
      </c>
      <c r="H119" s="5" t="s">
        <v>62</v>
      </c>
      <c r="I119" s="5"/>
      <c r="J119" s="5"/>
      <c r="K119" s="5"/>
      <c r="L119" s="5" t="s">
        <v>63</v>
      </c>
    </row>
    <row r="120" customFormat="false" ht="23.85" hidden="false" customHeight="false" outlineLevel="0" collapsed="false">
      <c r="A120" s="10" t="s">
        <v>336</v>
      </c>
      <c r="B120" s="10" t="n">
        <v>11465</v>
      </c>
      <c r="C120" s="10" t="s">
        <v>73</v>
      </c>
      <c r="D120" s="10" t="s">
        <v>337</v>
      </c>
      <c r="E120" s="10" t="s">
        <v>327</v>
      </c>
      <c r="F120" s="10" t="s">
        <v>75</v>
      </c>
      <c r="G120" s="10" t="s">
        <v>139</v>
      </c>
      <c r="H120" s="10" t="s">
        <v>192</v>
      </c>
      <c r="I120" s="10" t="s">
        <v>338</v>
      </c>
      <c r="J120" s="10"/>
      <c r="K120" s="10"/>
      <c r="L120" s="10" t="s">
        <v>63</v>
      </c>
    </row>
    <row r="121" customFormat="false" ht="15" hidden="false" customHeight="false" outlineLevel="0" collapsed="false">
      <c r="A121" s="10" t="s">
        <v>339</v>
      </c>
      <c r="B121" s="10" t="n">
        <v>11521</v>
      </c>
      <c r="C121" s="10" t="s">
        <v>73</v>
      </c>
      <c r="D121" s="10" t="s">
        <v>340</v>
      </c>
      <c r="E121" s="10" t="s">
        <v>327</v>
      </c>
      <c r="F121" s="10" t="s">
        <v>75</v>
      </c>
      <c r="G121" s="10" t="s">
        <v>139</v>
      </c>
      <c r="H121" s="10" t="s">
        <v>192</v>
      </c>
      <c r="I121" s="10" t="s">
        <v>341</v>
      </c>
      <c r="J121" s="10"/>
      <c r="K121" s="10"/>
      <c r="L121" s="10" t="s">
        <v>63</v>
      </c>
    </row>
    <row r="122" customFormat="false" ht="15" hidden="false" customHeight="false" outlineLevel="0" collapsed="false">
      <c r="A122" s="10" t="s">
        <v>342</v>
      </c>
      <c r="B122" s="10" t="n">
        <v>11466</v>
      </c>
      <c r="C122" s="10" t="s">
        <v>73</v>
      </c>
      <c r="D122" s="10" t="s">
        <v>343</v>
      </c>
      <c r="E122" s="10" t="s">
        <v>327</v>
      </c>
      <c r="F122" s="10" t="s">
        <v>75</v>
      </c>
      <c r="G122" s="10" t="s">
        <v>139</v>
      </c>
      <c r="H122" s="10" t="s">
        <v>192</v>
      </c>
      <c r="I122" s="10" t="s">
        <v>338</v>
      </c>
      <c r="J122" s="10"/>
      <c r="K122" s="10"/>
      <c r="L122" s="10" t="s">
        <v>63</v>
      </c>
    </row>
    <row r="123" customFormat="false" ht="15" hidden="false" customHeight="false" outlineLevel="0" collapsed="false">
      <c r="A123" s="5" t="s">
        <v>344</v>
      </c>
      <c r="B123" s="5" t="n">
        <v>10141</v>
      </c>
      <c r="C123" s="5" t="s">
        <v>73</v>
      </c>
      <c r="D123" s="5" t="s">
        <v>345</v>
      </c>
      <c r="E123" s="5" t="s">
        <v>327</v>
      </c>
      <c r="F123" s="5" t="s">
        <v>75</v>
      </c>
      <c r="G123" s="5" t="s">
        <v>139</v>
      </c>
      <c r="H123" s="5" t="s">
        <v>62</v>
      </c>
      <c r="I123" s="5"/>
      <c r="J123" s="5"/>
      <c r="K123" s="5"/>
      <c r="L123" s="5" t="s">
        <v>63</v>
      </c>
    </row>
    <row r="124" customFormat="false" ht="15" hidden="false" customHeight="false" outlineLevel="0" collapsed="false">
      <c r="A124" s="5" t="s">
        <v>346</v>
      </c>
      <c r="B124" s="5" t="n">
        <v>10142</v>
      </c>
      <c r="C124" s="5" t="s">
        <v>73</v>
      </c>
      <c r="D124" s="5" t="s">
        <v>347</v>
      </c>
      <c r="E124" s="5" t="s">
        <v>327</v>
      </c>
      <c r="F124" s="5" t="s">
        <v>75</v>
      </c>
      <c r="G124" s="5" t="s">
        <v>139</v>
      </c>
      <c r="H124" s="5" t="s">
        <v>62</v>
      </c>
      <c r="I124" s="5"/>
      <c r="J124" s="5"/>
      <c r="K124" s="5"/>
      <c r="L124" s="5" t="s">
        <v>63</v>
      </c>
    </row>
    <row r="125" customFormat="false" ht="15" hidden="false" customHeight="false" outlineLevel="0" collapsed="false">
      <c r="A125" s="5" t="s">
        <v>348</v>
      </c>
      <c r="B125" s="5" t="n">
        <v>18629</v>
      </c>
      <c r="C125" s="5" t="s">
        <v>73</v>
      </c>
      <c r="D125" s="5" t="s">
        <v>349</v>
      </c>
      <c r="E125" s="5" t="s">
        <v>327</v>
      </c>
      <c r="F125" s="5" t="s">
        <v>75</v>
      </c>
      <c r="G125" s="5" t="s">
        <v>139</v>
      </c>
      <c r="H125" s="5" t="s">
        <v>62</v>
      </c>
      <c r="I125" s="5"/>
      <c r="J125" s="5"/>
      <c r="K125" s="5"/>
      <c r="L125" s="5" t="s">
        <v>63</v>
      </c>
    </row>
    <row r="126" customFormat="false" ht="23.85" hidden="false" customHeight="false" outlineLevel="0" collapsed="false">
      <c r="A126" s="10" t="s">
        <v>350</v>
      </c>
      <c r="B126" s="10" t="n">
        <v>11522</v>
      </c>
      <c r="C126" s="10" t="s">
        <v>73</v>
      </c>
      <c r="D126" s="10" t="s">
        <v>351</v>
      </c>
      <c r="E126" s="10" t="s">
        <v>327</v>
      </c>
      <c r="F126" s="10" t="s">
        <v>75</v>
      </c>
      <c r="G126" s="10" t="s">
        <v>139</v>
      </c>
      <c r="H126" s="10" t="s">
        <v>192</v>
      </c>
      <c r="I126" s="10" t="s">
        <v>352</v>
      </c>
      <c r="J126" s="10"/>
      <c r="K126" s="10"/>
      <c r="L126" s="10" t="s">
        <v>63</v>
      </c>
    </row>
    <row r="127" customFormat="false" ht="15" hidden="false" customHeight="false" outlineLevel="0" collapsed="false">
      <c r="A127" s="5" t="s">
        <v>353</v>
      </c>
      <c r="B127" s="5" t="n">
        <v>11523</v>
      </c>
      <c r="C127" s="5" t="s">
        <v>73</v>
      </c>
      <c r="D127" s="5" t="s">
        <v>354</v>
      </c>
      <c r="E127" s="5" t="s">
        <v>327</v>
      </c>
      <c r="F127" s="5" t="s">
        <v>75</v>
      </c>
      <c r="G127" s="5" t="s">
        <v>139</v>
      </c>
      <c r="H127" s="5" t="s">
        <v>80</v>
      </c>
      <c r="I127" s="5" t="s">
        <v>355</v>
      </c>
      <c r="J127" s="5"/>
      <c r="K127" s="5"/>
      <c r="L127" s="5" t="s">
        <v>63</v>
      </c>
    </row>
    <row r="128" customFormat="false" ht="15" hidden="false" customHeight="false" outlineLevel="0" collapsed="false">
      <c r="A128" s="5" t="s">
        <v>356</v>
      </c>
      <c r="B128" s="5" t="n">
        <v>11468</v>
      </c>
      <c r="C128" s="5" t="s">
        <v>73</v>
      </c>
      <c r="D128" s="5" t="s">
        <v>357</v>
      </c>
      <c r="E128" s="5" t="s">
        <v>327</v>
      </c>
      <c r="F128" s="5" t="s">
        <v>75</v>
      </c>
      <c r="G128" s="5" t="s">
        <v>139</v>
      </c>
      <c r="H128" s="5" t="s">
        <v>62</v>
      </c>
      <c r="I128" s="5"/>
      <c r="J128" s="5"/>
      <c r="K128" s="5"/>
      <c r="L128" s="5" t="s">
        <v>63</v>
      </c>
    </row>
    <row r="129" customFormat="false" ht="23.85" hidden="false" customHeight="false" outlineLevel="0" collapsed="false">
      <c r="A129" s="8" t="s">
        <v>358</v>
      </c>
      <c r="B129" s="8" t="n">
        <v>10131</v>
      </c>
      <c r="C129" s="8" t="s">
        <v>37</v>
      </c>
      <c r="D129" s="9" t="s">
        <v>359</v>
      </c>
      <c r="E129" s="8" t="s">
        <v>311</v>
      </c>
      <c r="F129" s="8" t="s">
        <v>71</v>
      </c>
      <c r="G129" s="8" t="s">
        <v>313</v>
      </c>
      <c r="H129" s="8" t="s">
        <v>80</v>
      </c>
      <c r="I129" s="8" t="s">
        <v>360</v>
      </c>
      <c r="J129" s="8"/>
      <c r="K129" s="8"/>
      <c r="L129" s="8" t="s">
        <v>63</v>
      </c>
    </row>
    <row r="130" customFormat="false" ht="15" hidden="false" customHeight="false" outlineLevel="0" collapsed="false">
      <c r="A130" s="5" t="s">
        <v>361</v>
      </c>
      <c r="B130" s="5" t="n">
        <v>17682</v>
      </c>
      <c r="C130" s="5" t="s">
        <v>73</v>
      </c>
      <c r="D130" s="5" t="s">
        <v>362</v>
      </c>
      <c r="E130" s="5" t="s">
        <v>358</v>
      </c>
      <c r="F130" s="5" t="s">
        <v>75</v>
      </c>
      <c r="G130" s="5" t="s">
        <v>313</v>
      </c>
      <c r="H130" s="5" t="s">
        <v>80</v>
      </c>
      <c r="I130" s="5" t="s">
        <v>363</v>
      </c>
      <c r="J130" s="5"/>
      <c r="K130" s="5"/>
      <c r="L130" s="5" t="s">
        <v>63</v>
      </c>
    </row>
    <row r="131" customFormat="false" ht="35.05" hidden="false" customHeight="false" outlineLevel="0" collapsed="false">
      <c r="A131" s="5" t="s">
        <v>364</v>
      </c>
      <c r="B131" s="5" t="n">
        <v>10143</v>
      </c>
      <c r="C131" s="5" t="s">
        <v>73</v>
      </c>
      <c r="D131" s="5" t="s">
        <v>365</v>
      </c>
      <c r="E131" s="5" t="s">
        <v>358</v>
      </c>
      <c r="F131" s="5" t="s">
        <v>75</v>
      </c>
      <c r="G131" s="5" t="s">
        <v>366</v>
      </c>
      <c r="H131" s="5" t="s">
        <v>62</v>
      </c>
      <c r="I131" s="5"/>
      <c r="J131" s="5"/>
      <c r="K131" s="5"/>
      <c r="L131" s="5" t="s">
        <v>63</v>
      </c>
    </row>
    <row r="132" customFormat="false" ht="35.05" hidden="false" customHeight="false" outlineLevel="0" collapsed="false">
      <c r="A132" s="5" t="s">
        <v>367</v>
      </c>
      <c r="B132" s="5" t="n">
        <v>10144</v>
      </c>
      <c r="C132" s="5" t="s">
        <v>73</v>
      </c>
      <c r="D132" s="5" t="s">
        <v>368</v>
      </c>
      <c r="E132" s="5" t="s">
        <v>358</v>
      </c>
      <c r="F132" s="5" t="s">
        <v>75</v>
      </c>
      <c r="G132" s="5" t="s">
        <v>366</v>
      </c>
      <c r="H132" s="5" t="s">
        <v>62</v>
      </c>
      <c r="I132" s="5"/>
      <c r="J132" s="5"/>
      <c r="K132" s="5"/>
      <c r="L132" s="5" t="s">
        <v>63</v>
      </c>
    </row>
    <row r="133" customFormat="false" ht="35.05" hidden="false" customHeight="false" outlineLevel="0" collapsed="false">
      <c r="A133" s="5" t="s">
        <v>369</v>
      </c>
      <c r="B133" s="5" t="n">
        <v>10145</v>
      </c>
      <c r="C133" s="5" t="s">
        <v>73</v>
      </c>
      <c r="D133" s="5" t="s">
        <v>370</v>
      </c>
      <c r="E133" s="5" t="s">
        <v>358</v>
      </c>
      <c r="F133" s="5" t="s">
        <v>75</v>
      </c>
      <c r="G133" s="5" t="s">
        <v>366</v>
      </c>
      <c r="H133" s="5" t="s">
        <v>62</v>
      </c>
      <c r="I133" s="5"/>
      <c r="J133" s="5"/>
      <c r="K133" s="5"/>
      <c r="L133" s="5" t="s">
        <v>63</v>
      </c>
    </row>
    <row r="134" customFormat="false" ht="35.05" hidden="false" customHeight="false" outlineLevel="0" collapsed="false">
      <c r="A134" s="5" t="s">
        <v>371</v>
      </c>
      <c r="B134" s="5" t="n">
        <v>10146</v>
      </c>
      <c r="C134" s="5" t="s">
        <v>73</v>
      </c>
      <c r="D134" s="5" t="s">
        <v>372</v>
      </c>
      <c r="E134" s="5" t="s">
        <v>358</v>
      </c>
      <c r="F134" s="5" t="s">
        <v>75</v>
      </c>
      <c r="G134" s="5" t="s">
        <v>366</v>
      </c>
      <c r="H134" s="5" t="s">
        <v>62</v>
      </c>
      <c r="I134" s="5"/>
      <c r="J134" s="5"/>
      <c r="K134" s="5"/>
      <c r="L134" s="5" t="s">
        <v>63</v>
      </c>
    </row>
    <row r="135" customFormat="false" ht="15" hidden="false" customHeight="false" outlineLevel="0" collapsed="false">
      <c r="A135" s="5" t="s">
        <v>373</v>
      </c>
      <c r="B135" s="5" t="n">
        <v>10147</v>
      </c>
      <c r="C135" s="5" t="s">
        <v>73</v>
      </c>
      <c r="D135" s="5" t="s">
        <v>374</v>
      </c>
      <c r="E135" s="5" t="s">
        <v>358</v>
      </c>
      <c r="F135" s="5" t="s">
        <v>75</v>
      </c>
      <c r="G135" s="5" t="s">
        <v>313</v>
      </c>
      <c r="H135" s="5" t="s">
        <v>62</v>
      </c>
      <c r="I135" s="5"/>
      <c r="J135" s="5"/>
      <c r="K135" s="5"/>
      <c r="L135" s="5" t="s">
        <v>63</v>
      </c>
    </row>
    <row r="136" customFormat="false" ht="15" hidden="false" customHeight="false" outlineLevel="0" collapsed="false">
      <c r="A136" s="8" t="s">
        <v>375</v>
      </c>
      <c r="B136" s="8" t="n">
        <v>10132</v>
      </c>
      <c r="C136" s="8" t="s">
        <v>37</v>
      </c>
      <c r="D136" s="9" t="s">
        <v>376</v>
      </c>
      <c r="E136" s="8" t="s">
        <v>311</v>
      </c>
      <c r="F136" s="8" t="s">
        <v>71</v>
      </c>
      <c r="G136" s="8" t="s">
        <v>313</v>
      </c>
      <c r="H136" s="8" t="s">
        <v>62</v>
      </c>
      <c r="I136" s="8"/>
      <c r="J136" s="8"/>
      <c r="K136" s="8"/>
      <c r="L136" s="8" t="s">
        <v>63</v>
      </c>
    </row>
    <row r="137" customFormat="false" ht="15" hidden="false" customHeight="false" outlineLevel="0" collapsed="false">
      <c r="A137" s="8" t="s">
        <v>377</v>
      </c>
      <c r="B137" s="8" t="n">
        <v>10133</v>
      </c>
      <c r="C137" s="8" t="s">
        <v>37</v>
      </c>
      <c r="D137" s="9" t="s">
        <v>378</v>
      </c>
      <c r="E137" s="8" t="s">
        <v>311</v>
      </c>
      <c r="F137" s="8" t="s">
        <v>71</v>
      </c>
      <c r="G137" s="8" t="s">
        <v>313</v>
      </c>
      <c r="H137" s="8" t="s">
        <v>62</v>
      </c>
      <c r="I137" s="8"/>
      <c r="J137" s="8"/>
      <c r="K137" s="8"/>
      <c r="L137" s="8" t="s">
        <v>63</v>
      </c>
    </row>
    <row r="138" customFormat="false" ht="23.85" hidden="false" customHeight="false" outlineLevel="0" collapsed="false">
      <c r="A138" s="7" t="s">
        <v>379</v>
      </c>
      <c r="B138" s="7" t="n">
        <v>10105</v>
      </c>
      <c r="C138" s="7" t="s">
        <v>65</v>
      </c>
      <c r="D138" s="7" t="s">
        <v>380</v>
      </c>
      <c r="E138" s="7" t="s">
        <v>57</v>
      </c>
      <c r="F138" s="7" t="s">
        <v>67</v>
      </c>
      <c r="G138" s="7" t="s">
        <v>313</v>
      </c>
      <c r="H138" s="7" t="s">
        <v>62</v>
      </c>
      <c r="I138" s="7"/>
      <c r="J138" s="7"/>
      <c r="K138" s="7"/>
      <c r="L138" s="7" t="s">
        <v>63</v>
      </c>
    </row>
    <row r="139" customFormat="false" ht="15" hidden="false" customHeight="false" outlineLevel="0" collapsed="false">
      <c r="A139" s="8" t="s">
        <v>381</v>
      </c>
      <c r="B139" s="8" t="n">
        <v>20594</v>
      </c>
      <c r="C139" s="8" t="s">
        <v>37</v>
      </c>
      <c r="D139" s="9" t="s">
        <v>382</v>
      </c>
      <c r="E139" s="8" t="s">
        <v>379</v>
      </c>
      <c r="F139" s="8" t="s">
        <v>71</v>
      </c>
      <c r="G139" s="8" t="s">
        <v>313</v>
      </c>
      <c r="H139" s="8" t="s">
        <v>62</v>
      </c>
      <c r="I139" s="8"/>
      <c r="J139" s="8"/>
      <c r="K139" s="8"/>
      <c r="L139" s="8" t="s">
        <v>63</v>
      </c>
    </row>
    <row r="140" customFormat="false" ht="15" hidden="false" customHeight="false" outlineLevel="0" collapsed="false">
      <c r="A140" s="5" t="s">
        <v>383</v>
      </c>
      <c r="B140" s="5" t="n">
        <v>10188</v>
      </c>
      <c r="C140" s="5" t="s">
        <v>73</v>
      </c>
      <c r="D140" s="5" t="s">
        <v>384</v>
      </c>
      <c r="E140" s="5" t="s">
        <v>381</v>
      </c>
      <c r="F140" s="5" t="s">
        <v>75</v>
      </c>
      <c r="G140" s="5" t="s">
        <v>313</v>
      </c>
      <c r="H140" s="5" t="s">
        <v>62</v>
      </c>
      <c r="I140" s="5"/>
      <c r="J140" s="5" t="s">
        <v>272</v>
      </c>
      <c r="K140" s="5"/>
      <c r="L140" s="5" t="s">
        <v>63</v>
      </c>
    </row>
    <row r="141" customFormat="false" ht="15" hidden="false" customHeight="false" outlineLevel="0" collapsed="false">
      <c r="A141" s="5" t="s">
        <v>385</v>
      </c>
      <c r="B141" s="5" t="n">
        <v>10189</v>
      </c>
      <c r="C141" s="5" t="s">
        <v>73</v>
      </c>
      <c r="D141" s="5" t="s">
        <v>386</v>
      </c>
      <c r="E141" s="5" t="s">
        <v>381</v>
      </c>
      <c r="F141" s="5" t="s">
        <v>75</v>
      </c>
      <c r="G141" s="5" t="s">
        <v>313</v>
      </c>
      <c r="H141" s="5" t="s">
        <v>62</v>
      </c>
      <c r="I141" s="5"/>
      <c r="J141" s="5" t="s">
        <v>272</v>
      </c>
      <c r="K141" s="5"/>
      <c r="L141" s="5" t="s">
        <v>63</v>
      </c>
    </row>
    <row r="142" customFormat="false" ht="15" hidden="false" customHeight="false" outlineLevel="0" collapsed="false">
      <c r="A142" s="5" t="s">
        <v>387</v>
      </c>
      <c r="B142" s="5" t="n">
        <v>18115</v>
      </c>
      <c r="C142" s="5" t="s">
        <v>73</v>
      </c>
      <c r="D142" s="5" t="s">
        <v>388</v>
      </c>
      <c r="E142" s="5" t="s">
        <v>381</v>
      </c>
      <c r="F142" s="5" t="s">
        <v>75</v>
      </c>
      <c r="G142" s="5" t="s">
        <v>313</v>
      </c>
      <c r="H142" s="5" t="s">
        <v>62</v>
      </c>
      <c r="I142" s="5"/>
      <c r="J142" s="5" t="s">
        <v>389</v>
      </c>
      <c r="K142" s="5"/>
      <c r="L142" s="5" t="s">
        <v>63</v>
      </c>
    </row>
    <row r="143" customFormat="false" ht="23.85" hidden="false" customHeight="false" outlineLevel="0" collapsed="false">
      <c r="A143" s="11" t="s">
        <v>390</v>
      </c>
      <c r="B143" s="5"/>
      <c r="C143" s="5" t="s">
        <v>73</v>
      </c>
      <c r="D143" s="5" t="s">
        <v>391</v>
      </c>
      <c r="E143" s="5" t="s">
        <v>381</v>
      </c>
      <c r="F143" s="5" t="s">
        <v>75</v>
      </c>
      <c r="G143" s="5" t="s">
        <v>313</v>
      </c>
      <c r="H143" s="5" t="s">
        <v>270</v>
      </c>
      <c r="I143" s="5" t="s">
        <v>392</v>
      </c>
      <c r="J143" s="5" t="s">
        <v>389</v>
      </c>
      <c r="K143" s="5"/>
      <c r="L143" s="11" t="s">
        <v>270</v>
      </c>
    </row>
    <row r="144" customFormat="false" ht="15" hidden="false" customHeight="false" outlineLevel="0" collapsed="false">
      <c r="A144" s="5" t="s">
        <v>393</v>
      </c>
      <c r="B144" s="5" t="n">
        <v>11773</v>
      </c>
      <c r="C144" s="5" t="s">
        <v>73</v>
      </c>
      <c r="D144" s="5" t="s">
        <v>394</v>
      </c>
      <c r="E144" s="5" t="s">
        <v>381</v>
      </c>
      <c r="F144" s="5" t="s">
        <v>75</v>
      </c>
      <c r="G144" s="5" t="s">
        <v>313</v>
      </c>
      <c r="H144" s="5" t="s">
        <v>62</v>
      </c>
      <c r="I144" s="5"/>
      <c r="J144" s="5" t="s">
        <v>389</v>
      </c>
      <c r="K144" s="5"/>
      <c r="L144" s="5" t="s">
        <v>63</v>
      </c>
    </row>
    <row r="145" customFormat="false" ht="15" hidden="false" customHeight="false" outlineLevel="0" collapsed="false">
      <c r="A145" s="5" t="s">
        <v>395</v>
      </c>
      <c r="B145" s="5" t="n">
        <v>18116</v>
      </c>
      <c r="C145" s="5" t="s">
        <v>73</v>
      </c>
      <c r="D145" s="5" t="s">
        <v>396</v>
      </c>
      <c r="E145" s="5" t="s">
        <v>381</v>
      </c>
      <c r="F145" s="5" t="s">
        <v>75</v>
      </c>
      <c r="G145" s="5" t="s">
        <v>313</v>
      </c>
      <c r="H145" s="5" t="s">
        <v>62</v>
      </c>
      <c r="I145" s="5"/>
      <c r="J145" s="5" t="s">
        <v>397</v>
      </c>
      <c r="K145" s="5"/>
      <c r="L145" s="5" t="s">
        <v>63</v>
      </c>
    </row>
    <row r="146" customFormat="false" ht="15" hidden="false" customHeight="false" outlineLevel="0" collapsed="false">
      <c r="A146" s="5" t="s">
        <v>398</v>
      </c>
      <c r="B146" s="5" t="n">
        <v>20011</v>
      </c>
      <c r="C146" s="5" t="s">
        <v>73</v>
      </c>
      <c r="D146" s="5" t="s">
        <v>399</v>
      </c>
      <c r="E146" s="5" t="s">
        <v>381</v>
      </c>
      <c r="F146" s="5" t="s">
        <v>75</v>
      </c>
      <c r="G146" s="5" t="s">
        <v>313</v>
      </c>
      <c r="H146" s="5" t="s">
        <v>62</v>
      </c>
      <c r="I146" s="5"/>
      <c r="J146" s="5" t="s">
        <v>400</v>
      </c>
      <c r="K146" s="5"/>
      <c r="L146" s="5" t="s">
        <v>63</v>
      </c>
    </row>
    <row r="147" customFormat="false" ht="15" hidden="false" customHeight="false" outlineLevel="0" collapsed="false">
      <c r="A147" s="5" t="s">
        <v>401</v>
      </c>
      <c r="B147" s="5" t="n">
        <v>10209</v>
      </c>
      <c r="C147" s="5" t="s">
        <v>73</v>
      </c>
      <c r="D147" s="5" t="s">
        <v>402</v>
      </c>
      <c r="E147" s="5" t="s">
        <v>381</v>
      </c>
      <c r="F147" s="5" t="s">
        <v>75</v>
      </c>
      <c r="G147" s="5" t="s">
        <v>313</v>
      </c>
      <c r="H147" s="5" t="s">
        <v>62</v>
      </c>
      <c r="I147" s="5"/>
      <c r="J147" s="5" t="s">
        <v>389</v>
      </c>
      <c r="K147" s="5"/>
      <c r="L147" s="5" t="s">
        <v>63</v>
      </c>
    </row>
    <row r="148" customFormat="false" ht="23.85" hidden="false" customHeight="false" outlineLevel="0" collapsed="false">
      <c r="A148" s="5" t="s">
        <v>403</v>
      </c>
      <c r="B148" s="5" t="n">
        <v>10184</v>
      </c>
      <c r="C148" s="5" t="s">
        <v>73</v>
      </c>
      <c r="D148" s="5" t="s">
        <v>404</v>
      </c>
      <c r="E148" s="5" t="s">
        <v>381</v>
      </c>
      <c r="F148" s="5" t="s">
        <v>75</v>
      </c>
      <c r="G148" s="5" t="s">
        <v>313</v>
      </c>
      <c r="H148" s="5" t="s">
        <v>80</v>
      </c>
      <c r="I148" s="5" t="s">
        <v>405</v>
      </c>
      <c r="J148" s="5"/>
      <c r="K148" s="5"/>
      <c r="L148" s="5" t="s">
        <v>63</v>
      </c>
    </row>
    <row r="149" customFormat="false" ht="23.85" hidden="false" customHeight="false" outlineLevel="0" collapsed="false">
      <c r="A149" s="5" t="s">
        <v>406</v>
      </c>
      <c r="B149" s="5" t="n">
        <v>10190</v>
      </c>
      <c r="C149" s="5" t="s">
        <v>77</v>
      </c>
      <c r="D149" s="5" t="s">
        <v>407</v>
      </c>
      <c r="E149" s="5" t="s">
        <v>403</v>
      </c>
      <c r="F149" s="5" t="s">
        <v>79</v>
      </c>
      <c r="G149" s="5" t="s">
        <v>313</v>
      </c>
      <c r="H149" s="5" t="s">
        <v>62</v>
      </c>
      <c r="I149" s="5"/>
      <c r="J149" s="5" t="s">
        <v>272</v>
      </c>
      <c r="K149" s="5"/>
      <c r="L149" s="5" t="s">
        <v>63</v>
      </c>
    </row>
    <row r="150" customFormat="false" ht="23.85" hidden="false" customHeight="false" outlineLevel="0" collapsed="false">
      <c r="A150" s="5" t="s">
        <v>408</v>
      </c>
      <c r="B150" s="5" t="n">
        <v>10191</v>
      </c>
      <c r="C150" s="5" t="s">
        <v>77</v>
      </c>
      <c r="D150" s="5" t="s">
        <v>409</v>
      </c>
      <c r="E150" s="5" t="s">
        <v>403</v>
      </c>
      <c r="F150" s="5" t="s">
        <v>79</v>
      </c>
      <c r="G150" s="5" t="s">
        <v>313</v>
      </c>
      <c r="H150" s="5" t="s">
        <v>80</v>
      </c>
      <c r="I150" s="5" t="s">
        <v>410</v>
      </c>
      <c r="J150" s="5" t="s">
        <v>397</v>
      </c>
      <c r="K150" s="5"/>
      <c r="L150" s="5" t="s">
        <v>63</v>
      </c>
    </row>
    <row r="151" customFormat="false" ht="23.85" hidden="false" customHeight="false" outlineLevel="0" collapsed="false">
      <c r="A151" s="5" t="s">
        <v>411</v>
      </c>
      <c r="B151" s="5" t="n">
        <v>20012</v>
      </c>
      <c r="C151" s="5" t="s">
        <v>77</v>
      </c>
      <c r="D151" s="5" t="s">
        <v>412</v>
      </c>
      <c r="E151" s="5" t="s">
        <v>403</v>
      </c>
      <c r="F151" s="5" t="s">
        <v>79</v>
      </c>
      <c r="G151" s="5" t="s">
        <v>313</v>
      </c>
      <c r="H151" s="5" t="s">
        <v>62</v>
      </c>
      <c r="I151" s="5"/>
      <c r="J151" s="5" t="s">
        <v>272</v>
      </c>
      <c r="K151" s="5"/>
      <c r="L151" s="5" t="s">
        <v>63</v>
      </c>
    </row>
    <row r="152" customFormat="false" ht="23.85" hidden="false" customHeight="false" outlineLevel="0" collapsed="false">
      <c r="A152" s="11" t="s">
        <v>413</v>
      </c>
      <c r="B152" s="5"/>
      <c r="C152" s="5" t="s">
        <v>77</v>
      </c>
      <c r="D152" s="5" t="s">
        <v>414</v>
      </c>
      <c r="E152" s="5" t="s">
        <v>403</v>
      </c>
      <c r="F152" s="5" t="s">
        <v>79</v>
      </c>
      <c r="G152" s="5" t="s">
        <v>313</v>
      </c>
      <c r="H152" s="5" t="s">
        <v>270</v>
      </c>
      <c r="I152" s="5" t="s">
        <v>415</v>
      </c>
      <c r="J152" s="5" t="s">
        <v>272</v>
      </c>
      <c r="K152" s="5"/>
      <c r="L152" s="11" t="s">
        <v>270</v>
      </c>
    </row>
    <row r="153" customFormat="false" ht="23.85" hidden="false" customHeight="false" outlineLevel="0" collapsed="false">
      <c r="A153" s="11" t="s">
        <v>416</v>
      </c>
      <c r="B153" s="5"/>
      <c r="C153" s="5" t="s">
        <v>77</v>
      </c>
      <c r="D153" s="5" t="s">
        <v>417</v>
      </c>
      <c r="E153" s="5" t="s">
        <v>403</v>
      </c>
      <c r="F153" s="5" t="s">
        <v>79</v>
      </c>
      <c r="G153" s="5" t="s">
        <v>313</v>
      </c>
      <c r="H153" s="5" t="s">
        <v>270</v>
      </c>
      <c r="I153" s="5" t="s">
        <v>418</v>
      </c>
      <c r="J153" s="5" t="s">
        <v>419</v>
      </c>
      <c r="K153" s="5"/>
      <c r="L153" s="11" t="s">
        <v>270</v>
      </c>
    </row>
    <row r="154" customFormat="false" ht="23.85" hidden="false" customHeight="false" outlineLevel="0" collapsed="false">
      <c r="A154" s="11" t="s">
        <v>420</v>
      </c>
      <c r="B154" s="5"/>
      <c r="C154" s="5" t="s">
        <v>77</v>
      </c>
      <c r="D154" s="5" t="s">
        <v>421</v>
      </c>
      <c r="E154" s="5" t="s">
        <v>403</v>
      </c>
      <c r="F154" s="5" t="s">
        <v>79</v>
      </c>
      <c r="G154" s="5" t="s">
        <v>313</v>
      </c>
      <c r="H154" s="5" t="s">
        <v>270</v>
      </c>
      <c r="I154" s="5" t="s">
        <v>422</v>
      </c>
      <c r="J154" s="5" t="s">
        <v>419</v>
      </c>
      <c r="K154" s="5"/>
      <c r="L154" s="11" t="s">
        <v>270</v>
      </c>
    </row>
    <row r="155" customFormat="false" ht="23.85" hidden="false" customHeight="false" outlineLevel="0" collapsed="false">
      <c r="A155" s="5" t="s">
        <v>423</v>
      </c>
      <c r="B155" s="5" t="n">
        <v>10192</v>
      </c>
      <c r="C155" s="5" t="s">
        <v>77</v>
      </c>
      <c r="D155" s="5" t="s">
        <v>424</v>
      </c>
      <c r="E155" s="5" t="s">
        <v>403</v>
      </c>
      <c r="F155" s="5" t="s">
        <v>79</v>
      </c>
      <c r="G155" s="5" t="s">
        <v>313</v>
      </c>
      <c r="H155" s="5" t="s">
        <v>80</v>
      </c>
      <c r="I155" s="5" t="s">
        <v>425</v>
      </c>
      <c r="J155" s="5" t="s">
        <v>419</v>
      </c>
      <c r="K155" s="5"/>
      <c r="L155" s="5" t="s">
        <v>63</v>
      </c>
    </row>
    <row r="156" customFormat="false" ht="23.85" hidden="false" customHeight="false" outlineLevel="0" collapsed="false">
      <c r="A156" s="5" t="s">
        <v>426</v>
      </c>
      <c r="B156" s="5" t="n">
        <v>10193</v>
      </c>
      <c r="C156" s="5" t="s">
        <v>77</v>
      </c>
      <c r="D156" s="5" t="s">
        <v>427</v>
      </c>
      <c r="E156" s="5" t="s">
        <v>403</v>
      </c>
      <c r="F156" s="5" t="s">
        <v>79</v>
      </c>
      <c r="G156" s="5" t="s">
        <v>313</v>
      </c>
      <c r="H156" s="5" t="s">
        <v>62</v>
      </c>
      <c r="I156" s="5"/>
      <c r="J156" s="5" t="s">
        <v>419</v>
      </c>
      <c r="K156" s="5"/>
      <c r="L156" s="5" t="s">
        <v>63</v>
      </c>
    </row>
    <row r="157" customFormat="false" ht="35.05" hidden="false" customHeight="false" outlineLevel="0" collapsed="false">
      <c r="A157" s="11" t="s">
        <v>428</v>
      </c>
      <c r="B157" s="8"/>
      <c r="C157" s="8" t="s">
        <v>37</v>
      </c>
      <c r="D157" s="9" t="s">
        <v>429</v>
      </c>
      <c r="E157" s="8" t="s">
        <v>379</v>
      </c>
      <c r="F157" s="8" t="s">
        <v>71</v>
      </c>
      <c r="G157" s="8" t="s">
        <v>313</v>
      </c>
      <c r="H157" s="8" t="s">
        <v>270</v>
      </c>
      <c r="I157" s="8" t="s">
        <v>430</v>
      </c>
      <c r="J157" s="8" t="s">
        <v>419</v>
      </c>
      <c r="K157" s="8"/>
      <c r="L157" s="11" t="s">
        <v>270</v>
      </c>
    </row>
    <row r="158" customFormat="false" ht="23.85" hidden="false" customHeight="false" outlineLevel="0" collapsed="false">
      <c r="A158" s="11" t="s">
        <v>431</v>
      </c>
      <c r="B158" s="5"/>
      <c r="C158" s="5" t="s">
        <v>73</v>
      </c>
      <c r="D158" s="5" t="s">
        <v>432</v>
      </c>
      <c r="E158" s="5" t="s">
        <v>428</v>
      </c>
      <c r="F158" s="5" t="s">
        <v>75</v>
      </c>
      <c r="G158" s="5" t="s">
        <v>313</v>
      </c>
      <c r="H158" s="5" t="s">
        <v>270</v>
      </c>
      <c r="I158" s="5" t="s">
        <v>433</v>
      </c>
      <c r="J158" s="5" t="s">
        <v>419</v>
      </c>
      <c r="K158" s="5"/>
      <c r="L158" s="11" t="s">
        <v>270</v>
      </c>
    </row>
    <row r="159" customFormat="false" ht="23.85" hidden="false" customHeight="false" outlineLevel="0" collapsed="false">
      <c r="A159" s="11" t="s">
        <v>434</v>
      </c>
      <c r="B159" s="5"/>
      <c r="C159" s="5" t="s">
        <v>73</v>
      </c>
      <c r="D159" s="5" t="s">
        <v>435</v>
      </c>
      <c r="E159" s="5" t="s">
        <v>428</v>
      </c>
      <c r="F159" s="5" t="s">
        <v>75</v>
      </c>
      <c r="G159" s="5" t="s">
        <v>313</v>
      </c>
      <c r="H159" s="5" t="s">
        <v>270</v>
      </c>
      <c r="I159" s="5" t="s">
        <v>436</v>
      </c>
      <c r="J159" s="5" t="s">
        <v>419</v>
      </c>
      <c r="K159" s="5"/>
      <c r="L159" s="11" t="s">
        <v>270</v>
      </c>
    </row>
    <row r="160" customFormat="false" ht="15" hidden="false" customHeight="false" outlineLevel="0" collapsed="false">
      <c r="A160" s="8" t="s">
        <v>437</v>
      </c>
      <c r="B160" s="8" t="n">
        <v>10183</v>
      </c>
      <c r="C160" s="8" t="s">
        <v>37</v>
      </c>
      <c r="D160" s="9" t="s">
        <v>438</v>
      </c>
      <c r="E160" s="8" t="s">
        <v>379</v>
      </c>
      <c r="F160" s="8" t="s">
        <v>71</v>
      </c>
      <c r="G160" s="8" t="s">
        <v>313</v>
      </c>
      <c r="H160" s="8" t="s">
        <v>62</v>
      </c>
      <c r="I160" s="8"/>
      <c r="J160" s="8"/>
      <c r="K160" s="8"/>
      <c r="L160" s="8" t="s">
        <v>63</v>
      </c>
    </row>
    <row r="161" customFormat="false" ht="15" hidden="false" customHeight="false" outlineLevel="0" collapsed="false">
      <c r="A161" s="5" t="s">
        <v>439</v>
      </c>
      <c r="B161" s="5" t="n">
        <v>20013</v>
      </c>
      <c r="C161" s="5" t="s">
        <v>73</v>
      </c>
      <c r="D161" s="5" t="s">
        <v>440</v>
      </c>
      <c r="E161" s="5" t="s">
        <v>437</v>
      </c>
      <c r="F161" s="5" t="s">
        <v>75</v>
      </c>
      <c r="G161" s="5" t="s">
        <v>313</v>
      </c>
      <c r="H161" s="5" t="s">
        <v>62</v>
      </c>
      <c r="I161" s="5"/>
      <c r="J161" s="5"/>
      <c r="K161" s="5"/>
      <c r="L161" s="5" t="s">
        <v>63</v>
      </c>
    </row>
    <row r="162" customFormat="false" ht="15" hidden="false" customHeight="false" outlineLevel="0" collapsed="false">
      <c r="A162" s="5" t="s">
        <v>441</v>
      </c>
      <c r="B162" s="5" t="n">
        <v>11173</v>
      </c>
      <c r="C162" s="5" t="s">
        <v>73</v>
      </c>
      <c r="D162" s="5" t="s">
        <v>442</v>
      </c>
      <c r="E162" s="5" t="s">
        <v>437</v>
      </c>
      <c r="F162" s="5" t="s">
        <v>75</v>
      </c>
      <c r="G162" s="5" t="s">
        <v>313</v>
      </c>
      <c r="H162" s="5" t="s">
        <v>62</v>
      </c>
      <c r="I162" s="5"/>
      <c r="J162" s="5"/>
      <c r="K162" s="5"/>
      <c r="L162" s="5" t="s">
        <v>63</v>
      </c>
    </row>
    <row r="163" customFormat="false" ht="15" hidden="false" customHeight="false" outlineLevel="0" collapsed="false">
      <c r="A163" s="5" t="s">
        <v>443</v>
      </c>
      <c r="B163" s="5" t="n">
        <v>20014</v>
      </c>
      <c r="C163" s="5" t="s">
        <v>73</v>
      </c>
      <c r="D163" s="5" t="s">
        <v>444</v>
      </c>
      <c r="E163" s="5" t="s">
        <v>437</v>
      </c>
      <c r="F163" s="5" t="s">
        <v>75</v>
      </c>
      <c r="G163" s="5" t="s">
        <v>313</v>
      </c>
      <c r="H163" s="5" t="s">
        <v>62</v>
      </c>
      <c r="I163" s="5"/>
      <c r="J163" s="5"/>
      <c r="K163" s="5"/>
      <c r="L163" s="5" t="s">
        <v>63</v>
      </c>
    </row>
    <row r="164" customFormat="false" ht="15" hidden="false" customHeight="false" outlineLevel="0" collapsed="false">
      <c r="A164" s="5" t="s">
        <v>445</v>
      </c>
      <c r="B164" s="5" t="n">
        <v>11174</v>
      </c>
      <c r="C164" s="5" t="s">
        <v>73</v>
      </c>
      <c r="D164" s="5" t="s">
        <v>446</v>
      </c>
      <c r="E164" s="5" t="s">
        <v>437</v>
      </c>
      <c r="F164" s="5" t="s">
        <v>75</v>
      </c>
      <c r="G164" s="5" t="s">
        <v>313</v>
      </c>
      <c r="H164" s="5" t="s">
        <v>62</v>
      </c>
      <c r="I164" s="5"/>
      <c r="J164" s="5"/>
      <c r="K164" s="5"/>
      <c r="L164" s="5" t="s">
        <v>63</v>
      </c>
    </row>
    <row r="165" customFormat="false" ht="15" hidden="false" customHeight="false" outlineLevel="0" collapsed="false">
      <c r="A165" s="5" t="s">
        <v>447</v>
      </c>
      <c r="B165" s="5" t="n">
        <v>14208</v>
      </c>
      <c r="C165" s="5" t="s">
        <v>73</v>
      </c>
      <c r="D165" s="5" t="s">
        <v>448</v>
      </c>
      <c r="E165" s="5" t="s">
        <v>437</v>
      </c>
      <c r="F165" s="5" t="s">
        <v>75</v>
      </c>
      <c r="G165" s="5" t="s">
        <v>313</v>
      </c>
      <c r="H165" s="5" t="s">
        <v>62</v>
      </c>
      <c r="I165" s="5"/>
      <c r="J165" s="5"/>
      <c r="K165" s="5"/>
      <c r="L165" s="5" t="s">
        <v>63</v>
      </c>
    </row>
    <row r="166" customFormat="false" ht="23.85" hidden="false" customHeight="false" outlineLevel="0" collapsed="false">
      <c r="A166" s="5" t="s">
        <v>449</v>
      </c>
      <c r="B166" s="5" t="n">
        <v>16598</v>
      </c>
      <c r="C166" s="5" t="s">
        <v>77</v>
      </c>
      <c r="D166" s="5" t="s">
        <v>450</v>
      </c>
      <c r="E166" s="5" t="s">
        <v>447</v>
      </c>
      <c r="F166" s="5" t="s">
        <v>79</v>
      </c>
      <c r="G166" s="5" t="s">
        <v>313</v>
      </c>
      <c r="H166" s="5" t="s">
        <v>62</v>
      </c>
      <c r="I166" s="5"/>
      <c r="J166" s="5"/>
      <c r="K166" s="5"/>
      <c r="L166" s="5" t="s">
        <v>63</v>
      </c>
    </row>
    <row r="167" customFormat="false" ht="23.85" hidden="false" customHeight="false" outlineLevel="0" collapsed="false">
      <c r="A167" s="5" t="s">
        <v>451</v>
      </c>
      <c r="B167" s="5" t="n">
        <v>16599</v>
      </c>
      <c r="C167" s="5" t="s">
        <v>77</v>
      </c>
      <c r="D167" s="5" t="s">
        <v>452</v>
      </c>
      <c r="E167" s="5" t="s">
        <v>447</v>
      </c>
      <c r="F167" s="5" t="s">
        <v>79</v>
      </c>
      <c r="G167" s="5" t="s">
        <v>313</v>
      </c>
      <c r="H167" s="5" t="s">
        <v>62</v>
      </c>
      <c r="I167" s="5"/>
      <c r="J167" s="5"/>
      <c r="K167" s="5"/>
      <c r="L167" s="5" t="s">
        <v>63</v>
      </c>
    </row>
    <row r="168" customFormat="false" ht="15" hidden="false" customHeight="false" outlineLevel="0" collapsed="false">
      <c r="A168" s="8" t="s">
        <v>453</v>
      </c>
      <c r="B168" s="8" t="n">
        <v>11779</v>
      </c>
      <c r="C168" s="8" t="s">
        <v>37</v>
      </c>
      <c r="D168" s="9" t="s">
        <v>454</v>
      </c>
      <c r="E168" s="8" t="s">
        <v>379</v>
      </c>
      <c r="F168" s="8" t="s">
        <v>71</v>
      </c>
      <c r="G168" s="8" t="s">
        <v>313</v>
      </c>
      <c r="H168" s="8" t="s">
        <v>62</v>
      </c>
      <c r="I168" s="8"/>
      <c r="J168" s="8"/>
      <c r="K168" s="8"/>
      <c r="L168" s="8" t="s">
        <v>63</v>
      </c>
    </row>
    <row r="169" customFormat="false" ht="23.85" hidden="false" customHeight="false" outlineLevel="0" collapsed="false">
      <c r="A169" s="5" t="s">
        <v>455</v>
      </c>
      <c r="B169" s="5" t="n">
        <v>11781</v>
      </c>
      <c r="C169" s="5" t="s">
        <v>73</v>
      </c>
      <c r="D169" s="5" t="s">
        <v>456</v>
      </c>
      <c r="E169" s="5" t="s">
        <v>453</v>
      </c>
      <c r="F169" s="5" t="s">
        <v>75</v>
      </c>
      <c r="G169" s="5" t="s">
        <v>313</v>
      </c>
      <c r="H169" s="5" t="s">
        <v>62</v>
      </c>
      <c r="I169" s="5"/>
      <c r="J169" s="5" t="s">
        <v>457</v>
      </c>
      <c r="K169" s="5"/>
      <c r="L169" s="5" t="s">
        <v>63</v>
      </c>
    </row>
    <row r="170" customFormat="false" ht="15" hidden="false" customHeight="false" outlineLevel="0" collapsed="false">
      <c r="A170" s="5" t="s">
        <v>458</v>
      </c>
      <c r="B170" s="5" t="n">
        <v>11780</v>
      </c>
      <c r="C170" s="5" t="s">
        <v>73</v>
      </c>
      <c r="D170" s="5" t="s">
        <v>459</v>
      </c>
      <c r="E170" s="5" t="s">
        <v>453</v>
      </c>
      <c r="F170" s="5" t="s">
        <v>75</v>
      </c>
      <c r="G170" s="5" t="s">
        <v>313</v>
      </c>
      <c r="H170" s="5" t="s">
        <v>62</v>
      </c>
      <c r="I170" s="5"/>
      <c r="J170" s="5" t="s">
        <v>397</v>
      </c>
      <c r="K170" s="5"/>
      <c r="L170" s="5" t="s">
        <v>63</v>
      </c>
    </row>
    <row r="171" customFormat="false" ht="15" hidden="false" customHeight="false" outlineLevel="0" collapsed="false">
      <c r="A171" s="5" t="s">
        <v>460</v>
      </c>
      <c r="B171" s="5" t="n">
        <v>11782</v>
      </c>
      <c r="C171" s="5" t="s">
        <v>73</v>
      </c>
      <c r="D171" s="5" t="s">
        <v>461</v>
      </c>
      <c r="E171" s="5" t="s">
        <v>453</v>
      </c>
      <c r="F171" s="5" t="s">
        <v>75</v>
      </c>
      <c r="G171" s="5" t="s">
        <v>313</v>
      </c>
      <c r="H171" s="5" t="s">
        <v>62</v>
      </c>
      <c r="I171" s="5"/>
      <c r="J171" s="5" t="s">
        <v>457</v>
      </c>
      <c r="K171" s="5"/>
      <c r="L171" s="5" t="s">
        <v>63</v>
      </c>
    </row>
    <row r="172" customFormat="false" ht="15" hidden="false" customHeight="false" outlineLevel="0" collapsed="false">
      <c r="A172" s="5" t="s">
        <v>462</v>
      </c>
      <c r="B172" s="5" t="n">
        <v>11783</v>
      </c>
      <c r="C172" s="5" t="s">
        <v>73</v>
      </c>
      <c r="D172" s="5" t="s">
        <v>463</v>
      </c>
      <c r="E172" s="5" t="s">
        <v>453</v>
      </c>
      <c r="F172" s="5" t="s">
        <v>75</v>
      </c>
      <c r="G172" s="5" t="s">
        <v>313</v>
      </c>
      <c r="H172" s="5" t="s">
        <v>62</v>
      </c>
      <c r="I172" s="5"/>
      <c r="J172" s="5" t="s">
        <v>397</v>
      </c>
      <c r="K172" s="5"/>
      <c r="L172" s="5" t="s">
        <v>63</v>
      </c>
    </row>
    <row r="173" customFormat="false" ht="15" hidden="false" customHeight="false" outlineLevel="0" collapsed="false">
      <c r="A173" s="5" t="s">
        <v>464</v>
      </c>
      <c r="B173" s="5" t="n">
        <v>11784</v>
      </c>
      <c r="C173" s="5" t="s">
        <v>73</v>
      </c>
      <c r="D173" s="5" t="s">
        <v>465</v>
      </c>
      <c r="E173" s="5" t="s">
        <v>453</v>
      </c>
      <c r="F173" s="5" t="s">
        <v>75</v>
      </c>
      <c r="G173" s="5" t="s">
        <v>313</v>
      </c>
      <c r="H173" s="5" t="s">
        <v>62</v>
      </c>
      <c r="I173" s="5"/>
      <c r="J173" s="5" t="s">
        <v>457</v>
      </c>
      <c r="K173" s="5"/>
      <c r="L173" s="5" t="s">
        <v>63</v>
      </c>
    </row>
    <row r="174" customFormat="false" ht="15" hidden="false" customHeight="false" outlineLevel="0" collapsed="false">
      <c r="A174" s="5" t="s">
        <v>466</v>
      </c>
      <c r="B174" s="5" t="n">
        <v>11785</v>
      </c>
      <c r="C174" s="5" t="s">
        <v>73</v>
      </c>
      <c r="D174" s="5" t="s">
        <v>467</v>
      </c>
      <c r="E174" s="5" t="s">
        <v>453</v>
      </c>
      <c r="F174" s="5" t="s">
        <v>75</v>
      </c>
      <c r="G174" s="5" t="s">
        <v>313</v>
      </c>
      <c r="H174" s="5" t="s">
        <v>62</v>
      </c>
      <c r="I174" s="5"/>
      <c r="J174" s="5" t="s">
        <v>397</v>
      </c>
      <c r="K174" s="5"/>
      <c r="L174" s="5" t="s">
        <v>63</v>
      </c>
    </row>
    <row r="175" customFormat="false" ht="15" hidden="false" customHeight="false" outlineLevel="0" collapsed="false">
      <c r="A175" s="5" t="s">
        <v>468</v>
      </c>
      <c r="B175" s="5" t="n">
        <v>20015</v>
      </c>
      <c r="C175" s="5" t="s">
        <v>73</v>
      </c>
      <c r="D175" s="5" t="s">
        <v>469</v>
      </c>
      <c r="E175" s="5" t="s">
        <v>453</v>
      </c>
      <c r="F175" s="5" t="s">
        <v>75</v>
      </c>
      <c r="G175" s="5" t="s">
        <v>313</v>
      </c>
      <c r="H175" s="5" t="s">
        <v>62</v>
      </c>
      <c r="I175" s="5"/>
      <c r="J175" s="5" t="s">
        <v>457</v>
      </c>
      <c r="K175" s="5"/>
      <c r="L175" s="5" t="s">
        <v>63</v>
      </c>
    </row>
    <row r="176" customFormat="false" ht="23.85" hidden="false" customHeight="false" outlineLevel="0" collapsed="false">
      <c r="A176" s="5" t="s">
        <v>470</v>
      </c>
      <c r="B176" s="5" t="n">
        <v>11787</v>
      </c>
      <c r="C176" s="5" t="s">
        <v>73</v>
      </c>
      <c r="D176" s="5" t="s">
        <v>471</v>
      </c>
      <c r="E176" s="5" t="s">
        <v>453</v>
      </c>
      <c r="F176" s="5" t="s">
        <v>75</v>
      </c>
      <c r="G176" s="5" t="s">
        <v>313</v>
      </c>
      <c r="H176" s="5" t="s">
        <v>80</v>
      </c>
      <c r="I176" s="5" t="s">
        <v>472</v>
      </c>
      <c r="J176" s="5" t="s">
        <v>457</v>
      </c>
      <c r="K176" s="5"/>
      <c r="L176" s="5" t="s">
        <v>63</v>
      </c>
    </row>
    <row r="177" customFormat="false" ht="23.85" hidden="false" customHeight="false" outlineLevel="0" collapsed="false">
      <c r="A177" s="5" t="s">
        <v>473</v>
      </c>
      <c r="B177" s="5" t="n">
        <v>11788</v>
      </c>
      <c r="C177" s="5" t="s">
        <v>73</v>
      </c>
      <c r="D177" s="5" t="s">
        <v>474</v>
      </c>
      <c r="E177" s="5" t="s">
        <v>453</v>
      </c>
      <c r="F177" s="5" t="s">
        <v>75</v>
      </c>
      <c r="G177" s="5" t="s">
        <v>313</v>
      </c>
      <c r="H177" s="5" t="s">
        <v>80</v>
      </c>
      <c r="I177" s="5" t="s">
        <v>475</v>
      </c>
      <c r="J177" s="5" t="s">
        <v>457</v>
      </c>
      <c r="K177" s="5"/>
      <c r="L177" s="5" t="s">
        <v>63</v>
      </c>
    </row>
    <row r="178" customFormat="false" ht="15" hidden="false" customHeight="false" outlineLevel="0" collapsed="false">
      <c r="A178" s="5" t="s">
        <v>476</v>
      </c>
      <c r="B178" s="5" t="n">
        <v>11789</v>
      </c>
      <c r="C178" s="5" t="s">
        <v>73</v>
      </c>
      <c r="D178" s="5" t="s">
        <v>477</v>
      </c>
      <c r="E178" s="5" t="s">
        <v>453</v>
      </c>
      <c r="F178" s="5" t="s">
        <v>75</v>
      </c>
      <c r="G178" s="5" t="s">
        <v>127</v>
      </c>
      <c r="H178" s="5" t="s">
        <v>80</v>
      </c>
      <c r="I178" s="5" t="s">
        <v>478</v>
      </c>
      <c r="J178" s="5" t="s">
        <v>457</v>
      </c>
      <c r="K178" s="5"/>
      <c r="L178" s="5" t="s">
        <v>63</v>
      </c>
    </row>
    <row r="179" customFormat="false" ht="15" hidden="false" customHeight="false" outlineLevel="0" collapsed="false">
      <c r="A179" s="5" t="s">
        <v>479</v>
      </c>
      <c r="B179" s="5" t="n">
        <v>20016</v>
      </c>
      <c r="C179" s="5" t="s">
        <v>73</v>
      </c>
      <c r="D179" s="5" t="s">
        <v>480</v>
      </c>
      <c r="E179" s="5" t="s">
        <v>453</v>
      </c>
      <c r="F179" s="5" t="s">
        <v>75</v>
      </c>
      <c r="G179" s="5" t="s">
        <v>313</v>
      </c>
      <c r="H179" s="5" t="s">
        <v>80</v>
      </c>
      <c r="I179" s="5" t="s">
        <v>481</v>
      </c>
      <c r="J179" s="5" t="s">
        <v>457</v>
      </c>
      <c r="K179" s="5"/>
      <c r="L179" s="5" t="s">
        <v>63</v>
      </c>
    </row>
    <row r="180" customFormat="false" ht="15" hidden="false" customHeight="false" outlineLevel="0" collapsed="false">
      <c r="A180" s="5" t="s">
        <v>482</v>
      </c>
      <c r="B180" s="5" t="n">
        <v>20017</v>
      </c>
      <c r="C180" s="5" t="s">
        <v>73</v>
      </c>
      <c r="D180" s="5" t="s">
        <v>483</v>
      </c>
      <c r="E180" s="5" t="s">
        <v>453</v>
      </c>
      <c r="F180" s="5" t="s">
        <v>75</v>
      </c>
      <c r="G180" s="5" t="s">
        <v>313</v>
      </c>
      <c r="H180" s="5" t="s">
        <v>80</v>
      </c>
      <c r="I180" s="5" t="s">
        <v>484</v>
      </c>
      <c r="J180" s="5" t="s">
        <v>419</v>
      </c>
      <c r="K180" s="5"/>
      <c r="L180" s="5" t="s">
        <v>63</v>
      </c>
    </row>
    <row r="181" customFormat="false" ht="15" hidden="false" customHeight="false" outlineLevel="0" collapsed="false">
      <c r="A181" s="5" t="s">
        <v>485</v>
      </c>
      <c r="B181" s="5" t="n">
        <v>11790</v>
      </c>
      <c r="C181" s="5" t="s">
        <v>73</v>
      </c>
      <c r="D181" s="5" t="s">
        <v>486</v>
      </c>
      <c r="E181" s="5" t="s">
        <v>453</v>
      </c>
      <c r="F181" s="5" t="s">
        <v>75</v>
      </c>
      <c r="G181" s="5" t="s">
        <v>313</v>
      </c>
      <c r="H181" s="5" t="s">
        <v>62</v>
      </c>
      <c r="I181" s="5"/>
      <c r="J181" s="5" t="s">
        <v>457</v>
      </c>
      <c r="K181" s="5"/>
      <c r="L181" s="5" t="s">
        <v>63</v>
      </c>
    </row>
    <row r="182" customFormat="false" ht="15" hidden="false" customHeight="false" outlineLevel="0" collapsed="false">
      <c r="A182" s="5" t="s">
        <v>487</v>
      </c>
      <c r="B182" s="5" t="n">
        <v>20018</v>
      </c>
      <c r="C182" s="5" t="s">
        <v>73</v>
      </c>
      <c r="D182" s="5" t="s">
        <v>488</v>
      </c>
      <c r="E182" s="5" t="s">
        <v>453</v>
      </c>
      <c r="F182" s="5" t="s">
        <v>75</v>
      </c>
      <c r="G182" s="5" t="s">
        <v>313</v>
      </c>
      <c r="H182" s="5" t="s">
        <v>62</v>
      </c>
      <c r="I182" s="5"/>
      <c r="J182" s="5" t="s">
        <v>419</v>
      </c>
      <c r="K182" s="5"/>
      <c r="L182" s="5" t="s">
        <v>63</v>
      </c>
    </row>
    <row r="183" customFormat="false" ht="15" hidden="false" customHeight="false" outlineLevel="0" collapsed="false">
      <c r="A183" s="5" t="s">
        <v>489</v>
      </c>
      <c r="B183" s="5" t="n">
        <v>11793</v>
      </c>
      <c r="C183" s="5" t="s">
        <v>73</v>
      </c>
      <c r="D183" s="5" t="s">
        <v>490</v>
      </c>
      <c r="E183" s="5" t="s">
        <v>453</v>
      </c>
      <c r="F183" s="5" t="s">
        <v>75</v>
      </c>
      <c r="G183" s="5" t="s">
        <v>313</v>
      </c>
      <c r="H183" s="5" t="s">
        <v>62</v>
      </c>
      <c r="I183" s="5"/>
      <c r="J183" s="5" t="s">
        <v>419</v>
      </c>
      <c r="K183" s="5"/>
      <c r="L183" s="5" t="s">
        <v>63</v>
      </c>
    </row>
    <row r="184" customFormat="false" ht="35.05" hidden="false" customHeight="false" outlineLevel="0" collapsed="false">
      <c r="A184" s="11" t="s">
        <v>491</v>
      </c>
      <c r="B184" s="8"/>
      <c r="C184" s="8" t="s">
        <v>37</v>
      </c>
      <c r="D184" s="9" t="s">
        <v>492</v>
      </c>
      <c r="E184" s="8" t="s">
        <v>379</v>
      </c>
      <c r="F184" s="8" t="s">
        <v>71</v>
      </c>
      <c r="G184" s="8" t="s">
        <v>313</v>
      </c>
      <c r="H184" s="8" t="s">
        <v>270</v>
      </c>
      <c r="I184" s="8" t="s">
        <v>493</v>
      </c>
      <c r="J184" s="8" t="s">
        <v>397</v>
      </c>
      <c r="K184" s="8" t="s">
        <v>494</v>
      </c>
      <c r="L184" s="11" t="s">
        <v>270</v>
      </c>
    </row>
    <row r="185" customFormat="false" ht="23.85" hidden="false" customHeight="false" outlineLevel="0" collapsed="false">
      <c r="A185" s="11" t="s">
        <v>495</v>
      </c>
      <c r="B185" s="5"/>
      <c r="C185" s="5" t="s">
        <v>73</v>
      </c>
      <c r="D185" s="5" t="s">
        <v>496</v>
      </c>
      <c r="E185" s="5" t="s">
        <v>491</v>
      </c>
      <c r="F185" s="5" t="s">
        <v>75</v>
      </c>
      <c r="G185" s="5" t="s">
        <v>313</v>
      </c>
      <c r="H185" s="5" t="s">
        <v>270</v>
      </c>
      <c r="I185" s="5" t="s">
        <v>497</v>
      </c>
      <c r="J185" s="5" t="s">
        <v>397</v>
      </c>
      <c r="K185" s="5" t="s">
        <v>498</v>
      </c>
      <c r="L185" s="11" t="s">
        <v>270</v>
      </c>
    </row>
    <row r="186" customFormat="false" ht="23.85" hidden="false" customHeight="false" outlineLevel="0" collapsed="false">
      <c r="A186" s="11" t="s">
        <v>499</v>
      </c>
      <c r="B186" s="5"/>
      <c r="C186" s="5" t="s">
        <v>73</v>
      </c>
      <c r="D186" s="5" t="s">
        <v>500</v>
      </c>
      <c r="E186" s="5" t="s">
        <v>491</v>
      </c>
      <c r="F186" s="5" t="s">
        <v>75</v>
      </c>
      <c r="G186" s="5" t="s">
        <v>313</v>
      </c>
      <c r="H186" s="5" t="s">
        <v>270</v>
      </c>
      <c r="I186" s="5" t="s">
        <v>501</v>
      </c>
      <c r="J186" s="5" t="s">
        <v>397</v>
      </c>
      <c r="K186" s="5" t="s">
        <v>502</v>
      </c>
      <c r="L186" s="11" t="s">
        <v>270</v>
      </c>
    </row>
    <row r="187" customFormat="false" ht="46.25" hidden="false" customHeight="false" outlineLevel="0" collapsed="false">
      <c r="A187" s="11" t="s">
        <v>503</v>
      </c>
      <c r="B187" s="8"/>
      <c r="C187" s="8" t="s">
        <v>37</v>
      </c>
      <c r="D187" s="9" t="s">
        <v>504</v>
      </c>
      <c r="E187" s="8" t="s">
        <v>379</v>
      </c>
      <c r="F187" s="8" t="s">
        <v>71</v>
      </c>
      <c r="G187" s="8" t="s">
        <v>313</v>
      </c>
      <c r="H187" s="8" t="s">
        <v>270</v>
      </c>
      <c r="I187" s="8" t="s">
        <v>505</v>
      </c>
      <c r="J187" s="8" t="s">
        <v>397</v>
      </c>
      <c r="K187" s="8" t="s">
        <v>506</v>
      </c>
      <c r="L187" s="11" t="s">
        <v>270</v>
      </c>
    </row>
    <row r="188" customFormat="false" ht="23.85" hidden="false" customHeight="false" outlineLevel="0" collapsed="false">
      <c r="A188" s="11" t="s">
        <v>507</v>
      </c>
      <c r="B188" s="5"/>
      <c r="C188" s="5" t="s">
        <v>73</v>
      </c>
      <c r="D188" s="5" t="s">
        <v>508</v>
      </c>
      <c r="E188" s="5" t="s">
        <v>503</v>
      </c>
      <c r="F188" s="5" t="s">
        <v>75</v>
      </c>
      <c r="G188" s="5" t="s">
        <v>313</v>
      </c>
      <c r="H188" s="5" t="s">
        <v>270</v>
      </c>
      <c r="I188" s="5" t="s">
        <v>509</v>
      </c>
      <c r="J188" s="5" t="s">
        <v>397</v>
      </c>
      <c r="K188" s="5" t="s">
        <v>510</v>
      </c>
      <c r="L188" s="11" t="s">
        <v>270</v>
      </c>
    </row>
    <row r="189" customFormat="false" ht="23.85" hidden="false" customHeight="false" outlineLevel="0" collapsed="false">
      <c r="A189" s="11" t="s">
        <v>511</v>
      </c>
      <c r="B189" s="5"/>
      <c r="C189" s="5" t="s">
        <v>73</v>
      </c>
      <c r="D189" s="5" t="s">
        <v>512</v>
      </c>
      <c r="E189" s="5" t="s">
        <v>503</v>
      </c>
      <c r="F189" s="5" t="s">
        <v>75</v>
      </c>
      <c r="G189" s="5" t="s">
        <v>313</v>
      </c>
      <c r="H189" s="5" t="s">
        <v>270</v>
      </c>
      <c r="I189" s="5" t="s">
        <v>513</v>
      </c>
      <c r="J189" s="5" t="s">
        <v>397</v>
      </c>
      <c r="K189" s="5" t="s">
        <v>514</v>
      </c>
      <c r="L189" s="11" t="s">
        <v>270</v>
      </c>
    </row>
    <row r="190" customFormat="false" ht="35.05" hidden="false" customHeight="false" outlineLevel="0" collapsed="false">
      <c r="A190" s="11" t="s">
        <v>515</v>
      </c>
      <c r="B190" s="5"/>
      <c r="C190" s="5" t="s">
        <v>73</v>
      </c>
      <c r="D190" s="5" t="s">
        <v>516</v>
      </c>
      <c r="E190" s="5" t="s">
        <v>503</v>
      </c>
      <c r="F190" s="5" t="s">
        <v>75</v>
      </c>
      <c r="G190" s="5" t="s">
        <v>313</v>
      </c>
      <c r="H190" s="5" t="s">
        <v>270</v>
      </c>
      <c r="I190" s="5" t="s">
        <v>517</v>
      </c>
      <c r="J190" s="5" t="s">
        <v>397</v>
      </c>
      <c r="K190" s="5" t="s">
        <v>518</v>
      </c>
      <c r="L190" s="11" t="s">
        <v>270</v>
      </c>
    </row>
    <row r="191" customFormat="false" ht="35.05" hidden="false" customHeight="false" outlineLevel="0" collapsed="false">
      <c r="A191" s="11" t="s">
        <v>519</v>
      </c>
      <c r="B191" s="8"/>
      <c r="C191" s="8" t="s">
        <v>37</v>
      </c>
      <c r="D191" s="9" t="s">
        <v>520</v>
      </c>
      <c r="E191" s="8" t="s">
        <v>379</v>
      </c>
      <c r="F191" s="8" t="s">
        <v>71</v>
      </c>
      <c r="G191" s="8" t="s">
        <v>313</v>
      </c>
      <c r="H191" s="8" t="s">
        <v>270</v>
      </c>
      <c r="I191" s="8" t="s">
        <v>521</v>
      </c>
      <c r="J191" s="8" t="s">
        <v>397</v>
      </c>
      <c r="K191" s="8" t="s">
        <v>522</v>
      </c>
      <c r="L191" s="11" t="s">
        <v>270</v>
      </c>
    </row>
    <row r="192" customFormat="false" ht="23.85" hidden="false" customHeight="false" outlineLevel="0" collapsed="false">
      <c r="A192" s="11" t="s">
        <v>523</v>
      </c>
      <c r="B192" s="5"/>
      <c r="C192" s="5" t="s">
        <v>73</v>
      </c>
      <c r="D192" s="5" t="s">
        <v>524</v>
      </c>
      <c r="E192" s="5" t="s">
        <v>519</v>
      </c>
      <c r="F192" s="5" t="s">
        <v>75</v>
      </c>
      <c r="G192" s="5" t="s">
        <v>313</v>
      </c>
      <c r="H192" s="5" t="s">
        <v>270</v>
      </c>
      <c r="I192" s="5" t="s">
        <v>525</v>
      </c>
      <c r="J192" s="5" t="s">
        <v>397</v>
      </c>
      <c r="K192" s="5" t="s">
        <v>526</v>
      </c>
      <c r="L192" s="11" t="s">
        <v>270</v>
      </c>
    </row>
    <row r="193" customFormat="false" ht="23.85" hidden="false" customHeight="false" outlineLevel="0" collapsed="false">
      <c r="A193" s="11" t="s">
        <v>527</v>
      </c>
      <c r="B193" s="5"/>
      <c r="C193" s="5" t="s">
        <v>73</v>
      </c>
      <c r="D193" s="5" t="s">
        <v>528</v>
      </c>
      <c r="E193" s="5" t="s">
        <v>519</v>
      </c>
      <c r="F193" s="5" t="s">
        <v>75</v>
      </c>
      <c r="G193" s="5" t="s">
        <v>313</v>
      </c>
      <c r="H193" s="5" t="s">
        <v>270</v>
      </c>
      <c r="I193" s="5" t="s">
        <v>529</v>
      </c>
      <c r="J193" s="5" t="s">
        <v>397</v>
      </c>
      <c r="K193" s="5" t="s">
        <v>530</v>
      </c>
      <c r="L193" s="11" t="s">
        <v>270</v>
      </c>
    </row>
    <row r="194" customFormat="false" ht="35.05" hidden="false" customHeight="false" outlineLevel="0" collapsed="false">
      <c r="A194" s="11" t="s">
        <v>531</v>
      </c>
      <c r="B194" s="8"/>
      <c r="C194" s="8" t="s">
        <v>37</v>
      </c>
      <c r="D194" s="9" t="s">
        <v>532</v>
      </c>
      <c r="E194" s="8" t="s">
        <v>379</v>
      </c>
      <c r="F194" s="8" t="s">
        <v>71</v>
      </c>
      <c r="G194" s="8" t="s">
        <v>127</v>
      </c>
      <c r="H194" s="8" t="s">
        <v>270</v>
      </c>
      <c r="I194" s="8" t="s">
        <v>533</v>
      </c>
      <c r="J194" s="8" t="s">
        <v>457</v>
      </c>
      <c r="K194" s="8"/>
      <c r="L194" s="11" t="s">
        <v>270</v>
      </c>
    </row>
    <row r="195" customFormat="false" ht="23.85" hidden="false" customHeight="false" outlineLevel="0" collapsed="false">
      <c r="A195" s="11" t="s">
        <v>534</v>
      </c>
      <c r="B195" s="5"/>
      <c r="C195" s="5" t="s">
        <v>73</v>
      </c>
      <c r="D195" s="5" t="s">
        <v>535</v>
      </c>
      <c r="E195" s="5" t="s">
        <v>531</v>
      </c>
      <c r="F195" s="5" t="s">
        <v>75</v>
      </c>
      <c r="G195" s="5" t="s">
        <v>127</v>
      </c>
      <c r="H195" s="5" t="s">
        <v>270</v>
      </c>
      <c r="I195" s="5" t="s">
        <v>536</v>
      </c>
      <c r="J195" s="5" t="s">
        <v>457</v>
      </c>
      <c r="K195" s="5"/>
      <c r="L195" s="11" t="s">
        <v>270</v>
      </c>
    </row>
    <row r="196" customFormat="false" ht="15" hidden="false" customHeight="false" outlineLevel="0" collapsed="false">
      <c r="A196" s="11" t="s">
        <v>537</v>
      </c>
      <c r="B196" s="5"/>
      <c r="C196" s="5" t="s">
        <v>73</v>
      </c>
      <c r="D196" s="5" t="s">
        <v>538</v>
      </c>
      <c r="E196" s="5" t="s">
        <v>531</v>
      </c>
      <c r="F196" s="5" t="s">
        <v>75</v>
      </c>
      <c r="G196" s="5" t="s">
        <v>127</v>
      </c>
      <c r="H196" s="5" t="s">
        <v>270</v>
      </c>
      <c r="I196" s="5" t="s">
        <v>539</v>
      </c>
      <c r="J196" s="5" t="s">
        <v>457</v>
      </c>
      <c r="K196" s="5"/>
      <c r="L196" s="11" t="s">
        <v>270</v>
      </c>
    </row>
    <row r="197" customFormat="false" ht="15" hidden="false" customHeight="false" outlineLevel="0" collapsed="false">
      <c r="A197" s="11" t="s">
        <v>540</v>
      </c>
      <c r="B197" s="5"/>
      <c r="C197" s="5" t="s">
        <v>73</v>
      </c>
      <c r="D197" s="5" t="s">
        <v>541</v>
      </c>
      <c r="E197" s="5" t="s">
        <v>531</v>
      </c>
      <c r="F197" s="5" t="s">
        <v>75</v>
      </c>
      <c r="G197" s="5" t="s">
        <v>127</v>
      </c>
      <c r="H197" s="5" t="s">
        <v>270</v>
      </c>
      <c r="I197" s="5" t="s">
        <v>542</v>
      </c>
      <c r="J197" s="5" t="s">
        <v>457</v>
      </c>
      <c r="K197" s="5"/>
      <c r="L197" s="11" t="s">
        <v>270</v>
      </c>
    </row>
    <row r="198" customFormat="false" ht="15" hidden="false" customHeight="false" outlineLevel="0" collapsed="false">
      <c r="A198" s="8" t="s">
        <v>543</v>
      </c>
      <c r="B198" s="8" t="n">
        <v>10185</v>
      </c>
      <c r="C198" s="8" t="s">
        <v>37</v>
      </c>
      <c r="D198" s="9" t="s">
        <v>544</v>
      </c>
      <c r="E198" s="8" t="s">
        <v>379</v>
      </c>
      <c r="F198" s="8" t="s">
        <v>71</v>
      </c>
      <c r="G198" s="8" t="s">
        <v>313</v>
      </c>
      <c r="H198" s="8" t="s">
        <v>80</v>
      </c>
      <c r="I198" s="8" t="s">
        <v>545</v>
      </c>
      <c r="J198" s="8"/>
      <c r="K198" s="8"/>
      <c r="L198" s="8" t="s">
        <v>63</v>
      </c>
    </row>
    <row r="199" customFormat="false" ht="15" hidden="false" customHeight="false" outlineLevel="0" collapsed="false">
      <c r="A199" s="5" t="s">
        <v>546</v>
      </c>
      <c r="B199" s="5" t="n">
        <v>10194</v>
      </c>
      <c r="C199" s="5" t="s">
        <v>73</v>
      </c>
      <c r="D199" s="5" t="s">
        <v>547</v>
      </c>
      <c r="E199" s="5" t="s">
        <v>543</v>
      </c>
      <c r="F199" s="5" t="s">
        <v>75</v>
      </c>
      <c r="G199" s="5" t="s">
        <v>313</v>
      </c>
      <c r="H199" s="5" t="s">
        <v>80</v>
      </c>
      <c r="I199" s="5" t="s">
        <v>548</v>
      </c>
      <c r="J199" s="5" t="s">
        <v>549</v>
      </c>
      <c r="K199" s="5"/>
      <c r="L199" s="5" t="s">
        <v>63</v>
      </c>
    </row>
    <row r="200" customFormat="false" ht="15" hidden="false" customHeight="false" outlineLevel="0" collapsed="false">
      <c r="A200" s="5" t="s">
        <v>550</v>
      </c>
      <c r="B200" s="5" t="n">
        <v>10195</v>
      </c>
      <c r="C200" s="5" t="s">
        <v>73</v>
      </c>
      <c r="D200" s="5" t="s">
        <v>551</v>
      </c>
      <c r="E200" s="5" t="s">
        <v>543</v>
      </c>
      <c r="F200" s="5" t="s">
        <v>75</v>
      </c>
      <c r="G200" s="5" t="s">
        <v>313</v>
      </c>
      <c r="H200" s="5" t="s">
        <v>80</v>
      </c>
      <c r="I200" s="5" t="s">
        <v>552</v>
      </c>
      <c r="J200" s="5" t="s">
        <v>549</v>
      </c>
      <c r="K200" s="5"/>
      <c r="L200" s="5" t="s">
        <v>63</v>
      </c>
    </row>
    <row r="201" customFormat="false" ht="23.85" hidden="false" customHeight="false" outlineLevel="0" collapsed="false">
      <c r="A201" s="5" t="s">
        <v>553</v>
      </c>
      <c r="B201" s="5" t="n">
        <v>10201</v>
      </c>
      <c r="C201" s="5" t="s">
        <v>77</v>
      </c>
      <c r="D201" s="5" t="s">
        <v>554</v>
      </c>
      <c r="E201" s="5" t="s">
        <v>550</v>
      </c>
      <c r="F201" s="5" t="s">
        <v>79</v>
      </c>
      <c r="G201" s="5" t="s">
        <v>313</v>
      </c>
      <c r="H201" s="5" t="s">
        <v>62</v>
      </c>
      <c r="I201" s="5"/>
      <c r="J201" s="5"/>
      <c r="K201" s="5"/>
      <c r="L201" s="5" t="s">
        <v>63</v>
      </c>
    </row>
    <row r="202" customFormat="false" ht="23.85" hidden="false" customHeight="false" outlineLevel="0" collapsed="false">
      <c r="A202" s="5" t="s">
        <v>555</v>
      </c>
      <c r="B202" s="5" t="n">
        <v>10202</v>
      </c>
      <c r="C202" s="5" t="s">
        <v>77</v>
      </c>
      <c r="D202" s="5" t="s">
        <v>556</v>
      </c>
      <c r="E202" s="5" t="s">
        <v>550</v>
      </c>
      <c r="F202" s="5" t="s">
        <v>79</v>
      </c>
      <c r="G202" s="5" t="s">
        <v>313</v>
      </c>
      <c r="H202" s="5" t="s">
        <v>62</v>
      </c>
      <c r="I202" s="5"/>
      <c r="J202" s="5"/>
      <c r="K202" s="5"/>
      <c r="L202" s="5" t="s">
        <v>63</v>
      </c>
    </row>
    <row r="203" customFormat="false" ht="23.85" hidden="false" customHeight="false" outlineLevel="0" collapsed="false">
      <c r="A203" s="5" t="s">
        <v>557</v>
      </c>
      <c r="B203" s="5" t="n">
        <v>10203</v>
      </c>
      <c r="C203" s="5" t="s">
        <v>77</v>
      </c>
      <c r="D203" s="5" t="s">
        <v>558</v>
      </c>
      <c r="E203" s="5" t="s">
        <v>550</v>
      </c>
      <c r="F203" s="5" t="s">
        <v>79</v>
      </c>
      <c r="G203" s="5" t="s">
        <v>313</v>
      </c>
      <c r="H203" s="5" t="s">
        <v>62</v>
      </c>
      <c r="I203" s="5"/>
      <c r="J203" s="5"/>
      <c r="K203" s="5"/>
      <c r="L203" s="5" t="s">
        <v>63</v>
      </c>
    </row>
    <row r="204" customFormat="false" ht="23.85" hidden="false" customHeight="false" outlineLevel="0" collapsed="false">
      <c r="A204" s="5" t="s">
        <v>559</v>
      </c>
      <c r="B204" s="5" t="n">
        <v>10204</v>
      </c>
      <c r="C204" s="5" t="s">
        <v>77</v>
      </c>
      <c r="D204" s="5" t="s">
        <v>560</v>
      </c>
      <c r="E204" s="5" t="s">
        <v>550</v>
      </c>
      <c r="F204" s="5" t="s">
        <v>79</v>
      </c>
      <c r="G204" s="5" t="s">
        <v>313</v>
      </c>
      <c r="H204" s="5" t="s">
        <v>62</v>
      </c>
      <c r="I204" s="5"/>
      <c r="J204" s="5"/>
      <c r="K204" s="5"/>
      <c r="L204" s="5" t="s">
        <v>63</v>
      </c>
    </row>
    <row r="205" customFormat="false" ht="23.85" hidden="false" customHeight="false" outlineLevel="0" collapsed="false">
      <c r="A205" s="5" t="s">
        <v>561</v>
      </c>
      <c r="B205" s="5" t="n">
        <v>10205</v>
      </c>
      <c r="C205" s="5" t="s">
        <v>77</v>
      </c>
      <c r="D205" s="5" t="s">
        <v>562</v>
      </c>
      <c r="E205" s="5" t="s">
        <v>550</v>
      </c>
      <c r="F205" s="5" t="s">
        <v>79</v>
      </c>
      <c r="G205" s="5" t="s">
        <v>313</v>
      </c>
      <c r="H205" s="5" t="s">
        <v>62</v>
      </c>
      <c r="I205" s="5"/>
      <c r="J205" s="5"/>
      <c r="K205" s="5"/>
      <c r="L205" s="5" t="s">
        <v>63</v>
      </c>
    </row>
    <row r="206" customFormat="false" ht="23.85" hidden="false" customHeight="false" outlineLevel="0" collapsed="false">
      <c r="A206" s="5" t="s">
        <v>563</v>
      </c>
      <c r="B206" s="5" t="n">
        <v>10206</v>
      </c>
      <c r="C206" s="5" t="s">
        <v>77</v>
      </c>
      <c r="D206" s="5" t="s">
        <v>564</v>
      </c>
      <c r="E206" s="5" t="s">
        <v>550</v>
      </c>
      <c r="F206" s="5" t="s">
        <v>79</v>
      </c>
      <c r="G206" s="5" t="s">
        <v>313</v>
      </c>
      <c r="H206" s="5" t="s">
        <v>62</v>
      </c>
      <c r="I206" s="5"/>
      <c r="J206" s="5"/>
      <c r="K206" s="5"/>
      <c r="L206" s="5" t="s">
        <v>63</v>
      </c>
    </row>
    <row r="207" customFormat="false" ht="23.85" hidden="false" customHeight="false" outlineLevel="0" collapsed="false">
      <c r="A207" s="5" t="s">
        <v>565</v>
      </c>
      <c r="B207" s="5" t="n">
        <v>10207</v>
      </c>
      <c r="C207" s="5" t="s">
        <v>77</v>
      </c>
      <c r="D207" s="5" t="s">
        <v>566</v>
      </c>
      <c r="E207" s="5" t="s">
        <v>550</v>
      </c>
      <c r="F207" s="5" t="s">
        <v>79</v>
      </c>
      <c r="G207" s="5" t="s">
        <v>313</v>
      </c>
      <c r="H207" s="5" t="s">
        <v>62</v>
      </c>
      <c r="I207" s="5"/>
      <c r="J207" s="5"/>
      <c r="K207" s="5"/>
      <c r="L207" s="5" t="s">
        <v>63</v>
      </c>
    </row>
    <row r="208" customFormat="false" ht="23.85" hidden="false" customHeight="false" outlineLevel="0" collapsed="false">
      <c r="A208" s="5" t="s">
        <v>567</v>
      </c>
      <c r="B208" s="5" t="n">
        <v>10208</v>
      </c>
      <c r="C208" s="5" t="s">
        <v>77</v>
      </c>
      <c r="D208" s="5" t="s">
        <v>568</v>
      </c>
      <c r="E208" s="5" t="s">
        <v>550</v>
      </c>
      <c r="F208" s="5" t="s">
        <v>79</v>
      </c>
      <c r="G208" s="5" t="s">
        <v>313</v>
      </c>
      <c r="H208" s="5" t="s">
        <v>62</v>
      </c>
      <c r="I208" s="5"/>
      <c r="J208" s="5"/>
      <c r="K208" s="5"/>
      <c r="L208" s="5" t="s">
        <v>63</v>
      </c>
    </row>
    <row r="209" customFormat="false" ht="15" hidden="false" customHeight="false" outlineLevel="0" collapsed="false">
      <c r="A209" s="10" t="s">
        <v>569</v>
      </c>
      <c r="B209" s="10" t="n">
        <v>10196</v>
      </c>
      <c r="C209" s="10" t="s">
        <v>73</v>
      </c>
      <c r="D209" s="10" t="s">
        <v>570</v>
      </c>
      <c r="E209" s="10" t="s">
        <v>543</v>
      </c>
      <c r="F209" s="10" t="s">
        <v>75</v>
      </c>
      <c r="G209" s="10" t="s">
        <v>313</v>
      </c>
      <c r="H209" s="10" t="s">
        <v>192</v>
      </c>
      <c r="I209" s="10" t="s">
        <v>571</v>
      </c>
      <c r="J209" s="10"/>
      <c r="K209" s="10"/>
      <c r="L209" s="10" t="s">
        <v>63</v>
      </c>
    </row>
    <row r="210" customFormat="false" ht="23.85" hidden="false" customHeight="false" outlineLevel="0" collapsed="false">
      <c r="A210" s="5" t="s">
        <v>572</v>
      </c>
      <c r="B210" s="5" t="n">
        <v>10197</v>
      </c>
      <c r="C210" s="5" t="s">
        <v>73</v>
      </c>
      <c r="D210" s="5" t="s">
        <v>573</v>
      </c>
      <c r="E210" s="5" t="s">
        <v>543</v>
      </c>
      <c r="F210" s="5" t="s">
        <v>75</v>
      </c>
      <c r="G210" s="5" t="s">
        <v>313</v>
      </c>
      <c r="H210" s="5" t="s">
        <v>80</v>
      </c>
      <c r="I210" s="5" t="s">
        <v>574</v>
      </c>
      <c r="J210" s="5" t="s">
        <v>549</v>
      </c>
      <c r="K210" s="5"/>
      <c r="L210" s="5" t="s">
        <v>63</v>
      </c>
    </row>
    <row r="211" customFormat="false" ht="15" hidden="false" customHeight="false" outlineLevel="0" collapsed="false">
      <c r="A211" s="5" t="s">
        <v>575</v>
      </c>
      <c r="B211" s="5" t="n">
        <v>10198</v>
      </c>
      <c r="C211" s="5" t="s">
        <v>73</v>
      </c>
      <c r="D211" s="5" t="s">
        <v>576</v>
      </c>
      <c r="E211" s="5" t="s">
        <v>543</v>
      </c>
      <c r="F211" s="5" t="s">
        <v>75</v>
      </c>
      <c r="G211" s="5" t="s">
        <v>313</v>
      </c>
      <c r="H211" s="5" t="s">
        <v>80</v>
      </c>
      <c r="I211" s="5" t="s">
        <v>577</v>
      </c>
      <c r="J211" s="5" t="s">
        <v>549</v>
      </c>
      <c r="K211" s="5"/>
      <c r="L211" s="5" t="s">
        <v>63</v>
      </c>
    </row>
    <row r="212" customFormat="false" ht="15" hidden="false" customHeight="false" outlineLevel="0" collapsed="false">
      <c r="A212" s="5" t="s">
        <v>578</v>
      </c>
      <c r="B212" s="5" t="n">
        <v>17404</v>
      </c>
      <c r="C212" s="5" t="s">
        <v>73</v>
      </c>
      <c r="D212" s="5" t="s">
        <v>579</v>
      </c>
      <c r="E212" s="5" t="s">
        <v>543</v>
      </c>
      <c r="F212" s="5" t="s">
        <v>75</v>
      </c>
      <c r="G212" s="5" t="s">
        <v>313</v>
      </c>
      <c r="H212" s="5" t="s">
        <v>80</v>
      </c>
      <c r="I212" s="5" t="s">
        <v>580</v>
      </c>
      <c r="J212" s="5" t="s">
        <v>549</v>
      </c>
      <c r="K212" s="5"/>
      <c r="L212" s="5" t="s">
        <v>63</v>
      </c>
    </row>
    <row r="213" customFormat="false" ht="15" hidden="false" customHeight="false" outlineLevel="0" collapsed="false">
      <c r="A213" s="10" t="s">
        <v>581</v>
      </c>
      <c r="B213" s="10" t="n">
        <v>10199</v>
      </c>
      <c r="C213" s="10" t="s">
        <v>73</v>
      </c>
      <c r="D213" s="10" t="s">
        <v>582</v>
      </c>
      <c r="E213" s="10" t="s">
        <v>543</v>
      </c>
      <c r="F213" s="10" t="s">
        <v>75</v>
      </c>
      <c r="G213" s="10" t="s">
        <v>313</v>
      </c>
      <c r="H213" s="10" t="s">
        <v>192</v>
      </c>
      <c r="I213" s="10" t="s">
        <v>583</v>
      </c>
      <c r="J213" s="10"/>
      <c r="K213" s="10"/>
      <c r="L213" s="10" t="s">
        <v>63</v>
      </c>
    </row>
    <row r="214" customFormat="false" ht="23.85" hidden="false" customHeight="false" outlineLevel="0" collapsed="false">
      <c r="A214" s="5" t="s">
        <v>584</v>
      </c>
      <c r="B214" s="5" t="n">
        <v>10200</v>
      </c>
      <c r="C214" s="5" t="s">
        <v>73</v>
      </c>
      <c r="D214" s="5" t="s">
        <v>585</v>
      </c>
      <c r="E214" s="5" t="s">
        <v>543</v>
      </c>
      <c r="F214" s="5" t="s">
        <v>75</v>
      </c>
      <c r="G214" s="5" t="s">
        <v>313</v>
      </c>
      <c r="H214" s="5" t="s">
        <v>62</v>
      </c>
      <c r="I214" s="5"/>
      <c r="J214" s="5" t="s">
        <v>549</v>
      </c>
      <c r="K214" s="5"/>
      <c r="L214" s="5" t="s">
        <v>63</v>
      </c>
    </row>
    <row r="215" customFormat="false" ht="23.85" hidden="false" customHeight="false" outlineLevel="0" collapsed="false">
      <c r="A215" s="11" t="s">
        <v>586</v>
      </c>
      <c r="B215" s="5"/>
      <c r="C215" s="5" t="s">
        <v>73</v>
      </c>
      <c r="D215" s="5" t="s">
        <v>587</v>
      </c>
      <c r="E215" s="5" t="s">
        <v>543</v>
      </c>
      <c r="F215" s="5" t="s">
        <v>75</v>
      </c>
      <c r="G215" s="5" t="s">
        <v>313</v>
      </c>
      <c r="H215" s="5" t="s">
        <v>270</v>
      </c>
      <c r="I215" s="5" t="s">
        <v>588</v>
      </c>
      <c r="J215" s="5" t="s">
        <v>549</v>
      </c>
      <c r="K215" s="5"/>
      <c r="L215" s="11" t="s">
        <v>270</v>
      </c>
    </row>
    <row r="216" customFormat="false" ht="15" hidden="false" customHeight="false" outlineLevel="0" collapsed="false">
      <c r="A216" s="8" t="s">
        <v>589</v>
      </c>
      <c r="B216" s="8" t="n">
        <v>10187</v>
      </c>
      <c r="C216" s="8" t="s">
        <v>37</v>
      </c>
      <c r="D216" s="9" t="s">
        <v>590</v>
      </c>
      <c r="E216" s="8" t="s">
        <v>379</v>
      </c>
      <c r="F216" s="8" t="s">
        <v>71</v>
      </c>
      <c r="G216" s="8" t="s">
        <v>139</v>
      </c>
      <c r="H216" s="8" t="s">
        <v>80</v>
      </c>
      <c r="I216" s="8" t="s">
        <v>591</v>
      </c>
      <c r="J216" s="8"/>
      <c r="K216" s="8"/>
      <c r="L216" s="8" t="s">
        <v>63</v>
      </c>
    </row>
    <row r="217" customFormat="false" ht="23.85" hidden="false" customHeight="false" outlineLevel="0" collapsed="false">
      <c r="A217" s="5" t="s">
        <v>592</v>
      </c>
      <c r="B217" s="5" t="n">
        <v>10211</v>
      </c>
      <c r="C217" s="5" t="s">
        <v>73</v>
      </c>
      <c r="D217" s="5" t="s">
        <v>593</v>
      </c>
      <c r="E217" s="5" t="s">
        <v>589</v>
      </c>
      <c r="F217" s="5" t="s">
        <v>75</v>
      </c>
      <c r="G217" s="5" t="s">
        <v>139</v>
      </c>
      <c r="H217" s="5" t="s">
        <v>62</v>
      </c>
      <c r="I217" s="5"/>
      <c r="J217" s="5"/>
      <c r="K217" s="5"/>
      <c r="L217" s="5" t="s">
        <v>63</v>
      </c>
    </row>
    <row r="218" customFormat="false" ht="23.85" hidden="false" customHeight="false" outlineLevel="0" collapsed="false">
      <c r="A218" s="5" t="s">
        <v>594</v>
      </c>
      <c r="B218" s="5" t="n">
        <v>20019</v>
      </c>
      <c r="C218" s="5" t="s">
        <v>77</v>
      </c>
      <c r="D218" s="5" t="s">
        <v>595</v>
      </c>
      <c r="E218" s="5" t="s">
        <v>592</v>
      </c>
      <c r="F218" s="5" t="s">
        <v>79</v>
      </c>
      <c r="G218" s="5" t="s">
        <v>139</v>
      </c>
      <c r="H218" s="5" t="s">
        <v>62</v>
      </c>
      <c r="I218" s="5"/>
      <c r="J218" s="5"/>
      <c r="K218" s="5"/>
      <c r="L218" s="5" t="s">
        <v>63</v>
      </c>
    </row>
    <row r="219" customFormat="false" ht="23.85" hidden="false" customHeight="false" outlineLevel="0" collapsed="false">
      <c r="A219" s="5" t="s">
        <v>596</v>
      </c>
      <c r="B219" s="5" t="n">
        <v>20020</v>
      </c>
      <c r="C219" s="5" t="s">
        <v>77</v>
      </c>
      <c r="D219" s="5" t="s">
        <v>597</v>
      </c>
      <c r="E219" s="5" t="s">
        <v>592</v>
      </c>
      <c r="F219" s="5" t="s">
        <v>79</v>
      </c>
      <c r="G219" s="5" t="s">
        <v>139</v>
      </c>
      <c r="H219" s="5" t="s">
        <v>62</v>
      </c>
      <c r="I219" s="5"/>
      <c r="J219" s="5"/>
      <c r="K219" s="5"/>
      <c r="L219" s="5" t="s">
        <v>63</v>
      </c>
    </row>
    <row r="220" customFormat="false" ht="23.85" hidden="false" customHeight="false" outlineLevel="0" collapsed="false">
      <c r="A220" s="5" t="s">
        <v>598</v>
      </c>
      <c r="B220" s="5" t="n">
        <v>20021</v>
      </c>
      <c r="C220" s="5" t="s">
        <v>77</v>
      </c>
      <c r="D220" s="5" t="s">
        <v>599</v>
      </c>
      <c r="E220" s="5" t="s">
        <v>592</v>
      </c>
      <c r="F220" s="5" t="s">
        <v>79</v>
      </c>
      <c r="G220" s="5" t="s">
        <v>139</v>
      </c>
      <c r="H220" s="5" t="s">
        <v>62</v>
      </c>
      <c r="I220" s="5"/>
      <c r="J220" s="5"/>
      <c r="K220" s="5"/>
      <c r="L220" s="5" t="s">
        <v>63</v>
      </c>
    </row>
    <row r="221" customFormat="false" ht="15" hidden="false" customHeight="false" outlineLevel="0" collapsed="false">
      <c r="A221" s="5" t="s">
        <v>600</v>
      </c>
      <c r="B221" s="5" t="n">
        <v>18641</v>
      </c>
      <c r="C221" s="5" t="s">
        <v>73</v>
      </c>
      <c r="D221" s="5" t="s">
        <v>601</v>
      </c>
      <c r="E221" s="5" t="s">
        <v>589</v>
      </c>
      <c r="F221" s="5" t="s">
        <v>75</v>
      </c>
      <c r="G221" s="5" t="s">
        <v>139</v>
      </c>
      <c r="H221" s="5" t="s">
        <v>62</v>
      </c>
      <c r="I221" s="5"/>
      <c r="J221" s="5"/>
      <c r="K221" s="5"/>
      <c r="L221" s="5" t="s">
        <v>63</v>
      </c>
    </row>
    <row r="222" customFormat="false" ht="15" hidden="false" customHeight="false" outlineLevel="0" collapsed="false">
      <c r="A222" s="5" t="s">
        <v>602</v>
      </c>
      <c r="B222" s="5" t="n">
        <v>10214</v>
      </c>
      <c r="C222" s="5" t="s">
        <v>73</v>
      </c>
      <c r="D222" s="5" t="s">
        <v>603</v>
      </c>
      <c r="E222" s="5" t="s">
        <v>589</v>
      </c>
      <c r="F222" s="5" t="s">
        <v>75</v>
      </c>
      <c r="G222" s="5" t="s">
        <v>139</v>
      </c>
      <c r="H222" s="5" t="s">
        <v>62</v>
      </c>
      <c r="I222" s="5"/>
      <c r="J222" s="5"/>
      <c r="K222" s="5"/>
      <c r="L222" s="5" t="s">
        <v>63</v>
      </c>
    </row>
    <row r="223" customFormat="false" ht="15" hidden="false" customHeight="false" outlineLevel="0" collapsed="false">
      <c r="A223" s="5" t="s">
        <v>604</v>
      </c>
      <c r="B223" s="5" t="n">
        <v>14209</v>
      </c>
      <c r="C223" s="5" t="s">
        <v>73</v>
      </c>
      <c r="D223" s="5" t="s">
        <v>605</v>
      </c>
      <c r="E223" s="5" t="s">
        <v>589</v>
      </c>
      <c r="F223" s="5" t="s">
        <v>75</v>
      </c>
      <c r="G223" s="5" t="s">
        <v>139</v>
      </c>
      <c r="H223" s="5" t="s">
        <v>62</v>
      </c>
      <c r="I223" s="5"/>
      <c r="J223" s="5"/>
      <c r="K223" s="5"/>
      <c r="L223" s="5" t="s">
        <v>63</v>
      </c>
    </row>
    <row r="224" customFormat="false" ht="23.85" hidden="false" customHeight="false" outlineLevel="0" collapsed="false">
      <c r="A224" s="11" t="s">
        <v>606</v>
      </c>
      <c r="B224" s="5"/>
      <c r="C224" s="5" t="s">
        <v>73</v>
      </c>
      <c r="D224" s="5" t="s">
        <v>607</v>
      </c>
      <c r="E224" s="5" t="s">
        <v>589</v>
      </c>
      <c r="F224" s="5" t="s">
        <v>75</v>
      </c>
      <c r="G224" s="5" t="s">
        <v>139</v>
      </c>
      <c r="H224" s="5" t="s">
        <v>270</v>
      </c>
      <c r="I224" s="5" t="s">
        <v>608</v>
      </c>
      <c r="J224" s="5" t="s">
        <v>272</v>
      </c>
      <c r="K224" s="5"/>
      <c r="L224" s="11" t="s">
        <v>270</v>
      </c>
    </row>
    <row r="225" customFormat="false" ht="57.45" hidden="false" customHeight="false" outlineLevel="0" collapsed="false">
      <c r="A225" s="11" t="s">
        <v>609</v>
      </c>
      <c r="B225" s="8"/>
      <c r="C225" s="8" t="s">
        <v>37</v>
      </c>
      <c r="D225" s="9" t="s">
        <v>610</v>
      </c>
      <c r="E225" s="8" t="s">
        <v>611</v>
      </c>
      <c r="F225" s="8" t="s">
        <v>71</v>
      </c>
      <c r="G225" s="8" t="s">
        <v>313</v>
      </c>
      <c r="H225" s="8" t="s">
        <v>270</v>
      </c>
      <c r="I225" s="8" t="s">
        <v>612</v>
      </c>
      <c r="J225" s="8"/>
      <c r="K225" s="8"/>
      <c r="L225" s="11" t="s">
        <v>270</v>
      </c>
    </row>
    <row r="226" customFormat="false" ht="15" hidden="false" customHeight="false" outlineLevel="0" collapsed="false">
      <c r="A226" s="11" t="s">
        <v>613</v>
      </c>
      <c r="B226" s="5"/>
      <c r="C226" s="5" t="s">
        <v>73</v>
      </c>
      <c r="D226" s="5" t="s">
        <v>614</v>
      </c>
      <c r="E226" s="5" t="s">
        <v>609</v>
      </c>
      <c r="F226" s="5" t="s">
        <v>75</v>
      </c>
      <c r="G226" s="5" t="s">
        <v>313</v>
      </c>
      <c r="H226" s="5" t="s">
        <v>270</v>
      </c>
      <c r="I226" s="5" t="s">
        <v>615</v>
      </c>
      <c r="J226" s="5"/>
      <c r="K226" s="5"/>
      <c r="L226" s="11" t="s">
        <v>270</v>
      </c>
    </row>
    <row r="227" customFormat="false" ht="15" hidden="false" customHeight="false" outlineLevel="0" collapsed="false">
      <c r="A227" s="11" t="s">
        <v>616</v>
      </c>
      <c r="B227" s="5"/>
      <c r="C227" s="5" t="s">
        <v>73</v>
      </c>
      <c r="D227" s="5" t="s">
        <v>617</v>
      </c>
      <c r="E227" s="5" t="s">
        <v>609</v>
      </c>
      <c r="F227" s="5" t="s">
        <v>75</v>
      </c>
      <c r="G227" s="5" t="s">
        <v>313</v>
      </c>
      <c r="H227" s="5" t="s">
        <v>270</v>
      </c>
      <c r="I227" s="5" t="s">
        <v>618</v>
      </c>
      <c r="J227" s="5"/>
      <c r="K227" s="5"/>
      <c r="L227" s="11" t="s">
        <v>270</v>
      </c>
    </row>
    <row r="228" customFormat="false" ht="57.45" hidden="false" customHeight="false" outlineLevel="0" collapsed="false">
      <c r="A228" s="11" t="s">
        <v>619</v>
      </c>
      <c r="B228" s="8"/>
      <c r="C228" s="8" t="s">
        <v>37</v>
      </c>
      <c r="D228" s="9" t="s">
        <v>620</v>
      </c>
      <c r="E228" s="8" t="s">
        <v>621</v>
      </c>
      <c r="F228" s="8" t="s">
        <v>71</v>
      </c>
      <c r="G228" s="8" t="s">
        <v>313</v>
      </c>
      <c r="H228" s="8" t="s">
        <v>270</v>
      </c>
      <c r="I228" s="8" t="s">
        <v>622</v>
      </c>
      <c r="J228" s="8"/>
      <c r="K228" s="8"/>
      <c r="L228" s="11" t="s">
        <v>270</v>
      </c>
    </row>
    <row r="229" customFormat="false" ht="15" hidden="false" customHeight="false" outlineLevel="0" collapsed="false">
      <c r="A229" s="11" t="s">
        <v>623</v>
      </c>
      <c r="B229" s="5"/>
      <c r="C229" s="5" t="s">
        <v>73</v>
      </c>
      <c r="D229" s="5" t="s">
        <v>624</v>
      </c>
      <c r="E229" s="5" t="s">
        <v>619</v>
      </c>
      <c r="F229" s="5" t="s">
        <v>75</v>
      </c>
      <c r="G229" s="5" t="s">
        <v>313</v>
      </c>
      <c r="H229" s="5" t="s">
        <v>270</v>
      </c>
      <c r="I229" s="5" t="s">
        <v>625</v>
      </c>
      <c r="J229" s="5"/>
      <c r="K229" s="5"/>
      <c r="L229" s="11" t="s">
        <v>270</v>
      </c>
    </row>
    <row r="230" customFormat="false" ht="15" hidden="false" customHeight="false" outlineLevel="0" collapsed="false">
      <c r="A230" s="11" t="s">
        <v>626</v>
      </c>
      <c r="B230" s="5"/>
      <c r="C230" s="5" t="s">
        <v>73</v>
      </c>
      <c r="D230" s="5" t="s">
        <v>627</v>
      </c>
      <c r="E230" s="5" t="s">
        <v>619</v>
      </c>
      <c r="F230" s="5" t="s">
        <v>75</v>
      </c>
      <c r="G230" s="5" t="s">
        <v>313</v>
      </c>
      <c r="H230" s="5" t="s">
        <v>270</v>
      </c>
      <c r="I230" s="5" t="s">
        <v>628</v>
      </c>
      <c r="J230" s="5"/>
      <c r="K230" s="5"/>
      <c r="L230" s="11" t="s">
        <v>270</v>
      </c>
    </row>
  </sheetData>
  <autoFilter ref="A1:L23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30"/>
    <col collapsed="false" customWidth="true" hidden="false" outlineLevel="0" max="4" min="4" style="0" width="60"/>
    <col collapsed="false" customWidth="true" hidden="false" outlineLevel="0" max="5" min="5" style="0" width="26"/>
    <col collapsed="false" customWidth="true" hidden="false" outlineLevel="0" max="6" min="6" style="0" width="18"/>
    <col collapsed="false" customWidth="true" hidden="false" outlineLevel="0" max="7" min="7" style="0" width="11"/>
    <col collapsed="false" customWidth="true" hidden="false" outlineLevel="0" max="8" min="8" style="0" width="28"/>
    <col collapsed="false" customWidth="true" hidden="false" outlineLevel="0" max="9" min="9" style="0" width="32"/>
    <col collapsed="false" customWidth="true" hidden="false" outlineLevel="0" max="10" min="10" style="0" width="20"/>
    <col collapsed="false" customWidth="true" hidden="false" outlineLevel="0" max="11" min="11" style="0" width="12"/>
    <col collapsed="false" customWidth="true" hidden="false" outlineLevel="0" max="12" min="12" style="0" width="34"/>
    <col collapsed="false" customWidth="true" hidden="false" outlineLevel="0" max="13" min="13" style="0" width="13"/>
    <col collapsed="false" customWidth="true" hidden="false" outlineLevel="0" max="14" min="14" style="0" width="10"/>
    <col collapsed="false" customWidth="true" hidden="false" outlineLevel="0" max="15" min="15" style="0" width="16"/>
  </cols>
  <sheetData>
    <row r="1" customFormat="false" ht="30" hidden="false" customHeight="true" outlineLevel="0" collapsed="false">
      <c r="A1" s="6" t="s">
        <v>45</v>
      </c>
      <c r="B1" s="6" t="s">
        <v>629</v>
      </c>
      <c r="C1" s="6" t="s">
        <v>35</v>
      </c>
      <c r="D1" s="6" t="s">
        <v>630</v>
      </c>
      <c r="E1" s="6" t="s">
        <v>631</v>
      </c>
      <c r="F1" s="6" t="s">
        <v>632</v>
      </c>
      <c r="G1" s="6" t="s">
        <v>633</v>
      </c>
      <c r="H1" s="6" t="s">
        <v>634</v>
      </c>
      <c r="I1" s="6" t="s">
        <v>635</v>
      </c>
      <c r="J1" s="6" t="s">
        <v>636</v>
      </c>
      <c r="K1" s="6" t="s">
        <v>637</v>
      </c>
      <c r="L1" s="6" t="s">
        <v>638</v>
      </c>
      <c r="M1" s="6" t="s">
        <v>639</v>
      </c>
      <c r="N1" s="6" t="s">
        <v>640</v>
      </c>
      <c r="O1" s="6" t="s">
        <v>641</v>
      </c>
    </row>
    <row r="2" customFormat="false" ht="35.05" hidden="false" customHeight="false" outlineLevel="0" collapsed="false">
      <c r="A2" s="5" t="s">
        <v>642</v>
      </c>
      <c r="B2" s="5" t="s">
        <v>643</v>
      </c>
      <c r="C2" s="4" t="s">
        <v>644</v>
      </c>
      <c r="D2" s="5" t="s">
        <v>645</v>
      </c>
      <c r="E2" s="5" t="s">
        <v>646</v>
      </c>
      <c r="F2" s="5" t="s">
        <v>313</v>
      </c>
      <c r="G2" s="5" t="s">
        <v>647</v>
      </c>
      <c r="H2" s="5" t="s">
        <v>648</v>
      </c>
      <c r="I2" s="5" t="s">
        <v>649</v>
      </c>
      <c r="J2" s="5" t="s">
        <v>381</v>
      </c>
      <c r="K2" s="5" t="s">
        <v>411</v>
      </c>
      <c r="L2" s="5" t="str">
        <f aca="false">IFERROR(TRIM(INDEX(Process!$D$2:$D$230,MATCH(K2,Process!$A$2:$A$230,0))),"not found")</f>
        <v>Manage customer meetings/workshops</v>
      </c>
      <c r="M2" s="5" t="n">
        <f aca="false">'Service x Process'!AH4</f>
        <v>1</v>
      </c>
      <c r="N2" s="5" t="s">
        <v>650</v>
      </c>
      <c r="O2" s="5" t="s">
        <v>651</v>
      </c>
    </row>
    <row r="3" customFormat="false" ht="23.85" hidden="false" customHeight="false" outlineLevel="0" collapsed="false">
      <c r="A3" s="5" t="s">
        <v>652</v>
      </c>
      <c r="B3" s="5" t="s">
        <v>643</v>
      </c>
      <c r="C3" s="4" t="s">
        <v>653</v>
      </c>
      <c r="D3" s="5" t="s">
        <v>654</v>
      </c>
      <c r="E3" s="5" t="s">
        <v>655</v>
      </c>
      <c r="F3" s="5" t="s">
        <v>313</v>
      </c>
      <c r="G3" s="5" t="s">
        <v>656</v>
      </c>
      <c r="H3" s="5" t="s">
        <v>657</v>
      </c>
      <c r="I3" s="5" t="s">
        <v>658</v>
      </c>
      <c r="J3" s="5" t="s">
        <v>659</v>
      </c>
      <c r="K3" s="5" t="s">
        <v>515</v>
      </c>
      <c r="L3" s="5" t="str">
        <f aca="false">IFERROR(TRIM(INDEX(Process!$D$2:$D$230,MATCH(K3,Process!$A$2:$A$230,0))),"not found")</f>
        <v>Employment cost comparison</v>
      </c>
      <c r="M3" s="5" t="n">
        <f aca="false">'Service x Process'!AH5</f>
        <v>2</v>
      </c>
      <c r="N3" s="5" t="s">
        <v>660</v>
      </c>
      <c r="O3" s="5" t="s">
        <v>661</v>
      </c>
    </row>
    <row r="4" customFormat="false" ht="23.85" hidden="false" customHeight="false" outlineLevel="0" collapsed="false">
      <c r="A4" s="5" t="s">
        <v>662</v>
      </c>
      <c r="B4" s="5" t="s">
        <v>643</v>
      </c>
      <c r="C4" s="4" t="s">
        <v>663</v>
      </c>
      <c r="D4" s="5" t="s">
        <v>664</v>
      </c>
      <c r="E4" s="5" t="s">
        <v>665</v>
      </c>
      <c r="F4" s="5" t="s">
        <v>313</v>
      </c>
      <c r="G4" s="5" t="s">
        <v>656</v>
      </c>
      <c r="H4" s="5" t="s">
        <v>657</v>
      </c>
      <c r="I4" s="5" t="s">
        <v>666</v>
      </c>
      <c r="J4" s="5" t="s">
        <v>667</v>
      </c>
      <c r="K4" s="5" t="s">
        <v>527</v>
      </c>
      <c r="L4" s="5" t="str">
        <f aca="false">IFERROR(TRIM(INDEX(Process!$D$2:$D$230,MATCH(K4,Process!$A$2:$A$230,0))),"not found")</f>
        <v>Benefits plan comparison</v>
      </c>
      <c r="M4" s="5" t="n">
        <f aca="false">'Service x Process'!AH6</f>
        <v>2</v>
      </c>
      <c r="N4" s="5" t="s">
        <v>660</v>
      </c>
      <c r="O4" s="5" t="s">
        <v>668</v>
      </c>
    </row>
    <row r="5" customFormat="false" ht="23.85" hidden="false" customHeight="false" outlineLevel="0" collapsed="false">
      <c r="A5" s="5" t="s">
        <v>669</v>
      </c>
      <c r="B5" s="5" t="s">
        <v>643</v>
      </c>
      <c r="C5" s="4" t="s">
        <v>670</v>
      </c>
      <c r="D5" s="5" t="s">
        <v>671</v>
      </c>
      <c r="E5" s="5" t="s">
        <v>646</v>
      </c>
      <c r="F5" s="5" t="s">
        <v>313</v>
      </c>
      <c r="G5" s="5" t="s">
        <v>647</v>
      </c>
      <c r="H5" s="5" t="s">
        <v>672</v>
      </c>
      <c r="I5" s="5" t="s">
        <v>673</v>
      </c>
      <c r="J5" s="5" t="s">
        <v>381</v>
      </c>
      <c r="K5" s="5" t="s">
        <v>408</v>
      </c>
      <c r="L5" s="5" t="str">
        <f aca="false">IFERROR(TRIM(INDEX(Process!$D$2:$D$230,MATCH(K5,Process!$A$2:$A$230,0))),"not found")</f>
        <v>Perform pre-sales activities</v>
      </c>
      <c r="M5" s="5" t="n">
        <f aca="false">'Service x Process'!AH7</f>
        <v>1</v>
      </c>
      <c r="N5" s="5" t="s">
        <v>650</v>
      </c>
      <c r="O5" s="5" t="s">
        <v>674</v>
      </c>
    </row>
    <row r="6" customFormat="false" ht="35.05" hidden="false" customHeight="false" outlineLevel="0" collapsed="false">
      <c r="A6" s="5" t="s">
        <v>675</v>
      </c>
      <c r="B6" s="5" t="s">
        <v>643</v>
      </c>
      <c r="C6" s="4" t="s">
        <v>676</v>
      </c>
      <c r="D6" s="5" t="s">
        <v>677</v>
      </c>
      <c r="E6" s="5" t="s">
        <v>678</v>
      </c>
      <c r="F6" s="5" t="s">
        <v>313</v>
      </c>
      <c r="G6" s="5" t="s">
        <v>656</v>
      </c>
      <c r="H6" s="5" t="s">
        <v>679</v>
      </c>
      <c r="I6" s="5" t="s">
        <v>680</v>
      </c>
      <c r="J6" s="5" t="s">
        <v>681</v>
      </c>
      <c r="K6" s="5" t="s">
        <v>485</v>
      </c>
      <c r="L6" s="5" t="str">
        <f aca="false">IFERROR(TRIM(INDEX(Process!$D$2:$D$230,MATCH(K6,Process!$A$2:$A$230,0))),"not found")</f>
        <v>Submit/present bid/proposal/quote to customer</v>
      </c>
      <c r="M6" s="5" t="n">
        <f aca="false">'Service x Process'!AH8</f>
        <v>3</v>
      </c>
      <c r="N6" s="5" t="s">
        <v>650</v>
      </c>
      <c r="O6" s="5" t="s">
        <v>682</v>
      </c>
    </row>
    <row r="7" customFormat="false" ht="23.85" hidden="false" customHeight="false" outlineLevel="0" collapsed="false">
      <c r="A7" s="5" t="s">
        <v>683</v>
      </c>
      <c r="B7" s="5" t="s">
        <v>643</v>
      </c>
      <c r="C7" s="4" t="s">
        <v>684</v>
      </c>
      <c r="D7" s="5" t="s">
        <v>685</v>
      </c>
      <c r="E7" s="5" t="s">
        <v>665</v>
      </c>
      <c r="F7" s="5" t="s">
        <v>313</v>
      </c>
      <c r="G7" s="5" t="s">
        <v>647</v>
      </c>
      <c r="H7" s="5" t="s">
        <v>648</v>
      </c>
      <c r="I7" s="5" t="s">
        <v>686</v>
      </c>
      <c r="J7" s="5" t="s">
        <v>428</v>
      </c>
      <c r="K7" s="5" t="s">
        <v>434</v>
      </c>
      <c r="L7" s="5" t="str">
        <f aca="false">IFERROR(TRIM(INDEX(Process!$D$2:$D$230,MATCH(K7,Process!$A$2:$A$230,0))),"not found")</f>
        <v>Transition communication planning</v>
      </c>
      <c r="M7" s="5" t="n">
        <f aca="false">'Service x Process'!AH9</f>
        <v>1</v>
      </c>
      <c r="N7" s="5" t="s">
        <v>650</v>
      </c>
      <c r="O7" s="5" t="s">
        <v>687</v>
      </c>
    </row>
    <row r="8" customFormat="false" ht="23.85" hidden="false" customHeight="false" outlineLevel="0" collapsed="false">
      <c r="A8" s="5" t="s">
        <v>688</v>
      </c>
      <c r="B8" s="5" t="s">
        <v>643</v>
      </c>
      <c r="C8" s="4" t="s">
        <v>689</v>
      </c>
      <c r="D8" s="5" t="s">
        <v>690</v>
      </c>
      <c r="E8" s="5" t="s">
        <v>691</v>
      </c>
      <c r="F8" s="5" t="s">
        <v>313</v>
      </c>
      <c r="G8" s="5" t="s">
        <v>656</v>
      </c>
      <c r="H8" s="5" t="s">
        <v>692</v>
      </c>
      <c r="I8" s="5" t="s">
        <v>693</v>
      </c>
      <c r="J8" s="5" t="s">
        <v>694</v>
      </c>
      <c r="K8" s="5" t="s">
        <v>423</v>
      </c>
      <c r="L8" s="5" t="str">
        <f aca="false">IFERROR(TRIM(INDEX(Process!$D$2:$D$230,MATCH(K8,Process!$A$2:$A$230,0))),"not found")</f>
        <v>Close the sale</v>
      </c>
      <c r="M8" s="5" t="n">
        <f aca="false">'Service x Process'!AH10</f>
        <v>2</v>
      </c>
      <c r="N8" s="5" t="s">
        <v>650</v>
      </c>
      <c r="O8" s="5" t="s">
        <v>695</v>
      </c>
    </row>
    <row r="9" customFormat="false" ht="23.85" hidden="false" customHeight="false" outlineLevel="0" collapsed="false">
      <c r="A9" s="5" t="s">
        <v>696</v>
      </c>
      <c r="B9" s="5" t="s">
        <v>643</v>
      </c>
      <c r="C9" s="4" t="s">
        <v>697</v>
      </c>
      <c r="D9" s="5" t="s">
        <v>698</v>
      </c>
      <c r="E9" s="5" t="s">
        <v>699</v>
      </c>
      <c r="F9" s="5" t="s">
        <v>313</v>
      </c>
      <c r="G9" s="5" t="s">
        <v>656</v>
      </c>
      <c r="H9" s="5" t="s">
        <v>700</v>
      </c>
      <c r="I9" s="5" t="s">
        <v>701</v>
      </c>
      <c r="J9" s="5" t="s">
        <v>702</v>
      </c>
      <c r="K9" s="5" t="s">
        <v>578</v>
      </c>
      <c r="L9" s="5" t="str">
        <f aca="false">IFERROR(TRIM(INDEX(Process!$D$2:$D$230,MATCH(K9,Process!$A$2:$A$230,0))),"not found")</f>
        <v>Identify/perform cross-sell/up-sell activity</v>
      </c>
      <c r="M9" s="5" t="n">
        <f aca="false">'Service x Process'!AH11</f>
        <v>2</v>
      </c>
      <c r="N9" s="5" t="s">
        <v>650</v>
      </c>
      <c r="O9" s="5"/>
    </row>
    <row r="10" customFormat="false" ht="35.05" hidden="false" customHeight="false" outlineLevel="0" collapsed="false">
      <c r="A10" s="5" t="s">
        <v>703</v>
      </c>
      <c r="B10" s="5" t="s">
        <v>704</v>
      </c>
      <c r="C10" s="4" t="s">
        <v>705</v>
      </c>
      <c r="D10" s="5" t="s">
        <v>706</v>
      </c>
      <c r="E10" s="5" t="s">
        <v>707</v>
      </c>
      <c r="F10" s="5" t="s">
        <v>313</v>
      </c>
      <c r="G10" s="5" t="s">
        <v>708</v>
      </c>
      <c r="H10" s="5" t="s">
        <v>709</v>
      </c>
      <c r="I10" s="5" t="s">
        <v>710</v>
      </c>
      <c r="J10" s="5" t="s">
        <v>381</v>
      </c>
      <c r="K10" s="5" t="s">
        <v>387</v>
      </c>
      <c r="L10" s="5" t="str">
        <f aca="false">IFERROR(TRIM(INDEX(Process!$D$2:$D$230,MATCH(K10,Process!$A$2:$A$230,0))),"not found")</f>
        <v>Validate and qualify leads/opportunities</v>
      </c>
      <c r="M10" s="5" t="n">
        <f aca="false">'Service x Process'!AH12</f>
        <v>1</v>
      </c>
      <c r="N10" s="5" t="s">
        <v>650</v>
      </c>
      <c r="O10" s="5" t="s">
        <v>711</v>
      </c>
    </row>
    <row r="11" customFormat="false" ht="23.85" hidden="false" customHeight="false" outlineLevel="0" collapsed="false">
      <c r="A11" s="5" t="s">
        <v>712</v>
      </c>
      <c r="B11" s="5" t="s">
        <v>704</v>
      </c>
      <c r="C11" s="4" t="s">
        <v>713</v>
      </c>
      <c r="D11" s="5" t="s">
        <v>714</v>
      </c>
      <c r="E11" s="5" t="s">
        <v>715</v>
      </c>
      <c r="F11" s="5" t="s">
        <v>313</v>
      </c>
      <c r="G11" s="5" t="s">
        <v>656</v>
      </c>
      <c r="H11" s="5" t="s">
        <v>716</v>
      </c>
      <c r="I11" s="5" t="s">
        <v>717</v>
      </c>
      <c r="J11" s="5" t="s">
        <v>718</v>
      </c>
      <c r="K11" s="5" t="s">
        <v>322</v>
      </c>
      <c r="L11" s="5" t="str">
        <f aca="false">IFERROR(TRIM(INDEX(Process!$D$2:$D$230,MATCH(K11,Process!$A$2:$A$230,0))),"not found")</f>
        <v>Generate sales forecast</v>
      </c>
      <c r="M11" s="5" t="n">
        <f aca="false">'Service x Process'!AH13</f>
        <v>2</v>
      </c>
      <c r="N11" s="5" t="s">
        <v>650</v>
      </c>
      <c r="O11" s="5" t="s">
        <v>719</v>
      </c>
    </row>
    <row r="12" customFormat="false" ht="23.85" hidden="false" customHeight="false" outlineLevel="0" collapsed="false">
      <c r="A12" s="5" t="s">
        <v>720</v>
      </c>
      <c r="B12" s="5" t="s">
        <v>704</v>
      </c>
      <c r="C12" s="4" t="s">
        <v>721</v>
      </c>
      <c r="D12" s="5" t="s">
        <v>722</v>
      </c>
      <c r="E12" s="5" t="s">
        <v>723</v>
      </c>
      <c r="F12" s="5" t="s">
        <v>313</v>
      </c>
      <c r="G12" s="5" t="s">
        <v>656</v>
      </c>
      <c r="H12" s="5" t="s">
        <v>724</v>
      </c>
      <c r="I12" s="5" t="s">
        <v>725</v>
      </c>
      <c r="J12" s="5" t="s">
        <v>726</v>
      </c>
      <c r="K12" s="5" t="s">
        <v>375</v>
      </c>
      <c r="L12" s="5" t="str">
        <f aca="false">IFERROR(TRIM(INDEX(Process!$D$2:$D$230,MATCH(K12,Process!$A$2:$A$230,0))),"not found")</f>
        <v>Establish sales goals and measures</v>
      </c>
      <c r="M12" s="5" t="n">
        <f aca="false">'Service x Process'!AH14</f>
        <v>4</v>
      </c>
      <c r="N12" s="5" t="s">
        <v>650</v>
      </c>
      <c r="O12" s="5" t="s">
        <v>727</v>
      </c>
    </row>
    <row r="13" customFormat="false" ht="23.85" hidden="false" customHeight="false" outlineLevel="0" collapsed="false">
      <c r="A13" s="5" t="s">
        <v>728</v>
      </c>
      <c r="B13" s="5" t="s">
        <v>704</v>
      </c>
      <c r="C13" s="4" t="s">
        <v>729</v>
      </c>
      <c r="D13" s="5" t="s">
        <v>730</v>
      </c>
      <c r="E13" s="5" t="s">
        <v>731</v>
      </c>
      <c r="F13" s="5" t="s">
        <v>313</v>
      </c>
      <c r="G13" s="5" t="s">
        <v>708</v>
      </c>
      <c r="H13" s="5" t="s">
        <v>732</v>
      </c>
      <c r="I13" s="5" t="s">
        <v>733</v>
      </c>
      <c r="J13" s="5" t="s">
        <v>609</v>
      </c>
      <c r="K13" s="5" t="s">
        <v>613</v>
      </c>
      <c r="L13" s="5" t="str">
        <f aca="false">IFERROR(TRIM(INDEX(Process!$D$2:$D$230,MATCH(K13,Process!$A$2:$A$230,0))),"not found")</f>
        <v>Commission calculation</v>
      </c>
      <c r="M13" s="5" t="n">
        <f aca="false">'Service x Process'!AH15</f>
        <v>1</v>
      </c>
      <c r="N13" s="5" t="s">
        <v>650</v>
      </c>
      <c r="O13" s="5" t="s">
        <v>734</v>
      </c>
    </row>
    <row r="14" customFormat="false" ht="23.85" hidden="false" customHeight="false" outlineLevel="0" collapsed="false">
      <c r="A14" s="5" t="s">
        <v>735</v>
      </c>
      <c r="B14" s="5" t="s">
        <v>704</v>
      </c>
      <c r="C14" s="4" t="s">
        <v>736</v>
      </c>
      <c r="D14" s="5" t="s">
        <v>737</v>
      </c>
      <c r="E14" s="5" t="s">
        <v>738</v>
      </c>
      <c r="F14" s="5" t="s">
        <v>313</v>
      </c>
      <c r="G14" s="5" t="s">
        <v>708</v>
      </c>
      <c r="H14" s="5" t="s">
        <v>732</v>
      </c>
      <c r="I14" s="5" t="s">
        <v>649</v>
      </c>
      <c r="J14" s="5" t="s">
        <v>543</v>
      </c>
      <c r="K14" s="5" t="s">
        <v>575</v>
      </c>
      <c r="L14" s="5" t="str">
        <f aca="false">IFERROR(TRIM(INDEX(Process!$D$2:$D$230,MATCH(K14,Process!$A$2:$A$230,0))),"not found")</f>
        <v>Enter orders into system</v>
      </c>
      <c r="M14" s="5" t="n">
        <f aca="false">'Service x Process'!AH16</f>
        <v>1</v>
      </c>
      <c r="N14" s="5" t="s">
        <v>650</v>
      </c>
      <c r="O14" s="5" t="s">
        <v>739</v>
      </c>
    </row>
    <row r="15" customFormat="false" ht="23.85" hidden="false" customHeight="false" outlineLevel="0" collapsed="false">
      <c r="A15" s="5" t="s">
        <v>740</v>
      </c>
      <c r="B15" s="5" t="s">
        <v>704</v>
      </c>
      <c r="C15" s="4" t="s">
        <v>741</v>
      </c>
      <c r="D15" s="5" t="s">
        <v>742</v>
      </c>
      <c r="E15" s="5" t="s">
        <v>743</v>
      </c>
      <c r="F15" s="5" t="s">
        <v>313</v>
      </c>
      <c r="G15" s="5" t="s">
        <v>656</v>
      </c>
      <c r="H15" s="5" t="s">
        <v>744</v>
      </c>
      <c r="I15" s="5" t="s">
        <v>745</v>
      </c>
      <c r="J15" s="5" t="s">
        <v>702</v>
      </c>
      <c r="K15" s="5" t="s">
        <v>451</v>
      </c>
      <c r="L15" s="5" t="str">
        <f aca="false">IFERROR(TRIM(INDEX(Process!$D$2:$D$230,MATCH(K15,Process!$A$2:$A$230,0))),"not found")</f>
        <v>De-duplicate customer data</v>
      </c>
      <c r="M15" s="5" t="n">
        <f aca="false">'Service x Process'!AH17</f>
        <v>2</v>
      </c>
      <c r="N15" s="5" t="s">
        <v>650</v>
      </c>
      <c r="O15" s="5" t="s">
        <v>746</v>
      </c>
    </row>
    <row r="16" customFormat="false" ht="23.85" hidden="false" customHeight="false" outlineLevel="0" collapsed="false">
      <c r="A16" s="5" t="s">
        <v>747</v>
      </c>
      <c r="B16" s="5" t="s">
        <v>704</v>
      </c>
      <c r="C16" s="4" t="s">
        <v>748</v>
      </c>
      <c r="D16" s="5" t="s">
        <v>749</v>
      </c>
      <c r="E16" s="5" t="s">
        <v>750</v>
      </c>
      <c r="F16" s="5" t="s">
        <v>313</v>
      </c>
      <c r="G16" s="5" t="s">
        <v>656</v>
      </c>
      <c r="H16" s="5" t="s">
        <v>751</v>
      </c>
      <c r="I16" s="5" t="s">
        <v>701</v>
      </c>
      <c r="J16" s="5" t="s">
        <v>752</v>
      </c>
      <c r="K16" s="5" t="s">
        <v>426</v>
      </c>
      <c r="L16" s="5" t="str">
        <f aca="false">IFERROR(TRIM(INDEX(Process!$D$2:$D$230,MATCH(K16,Process!$A$2:$A$230,0))),"not found")</f>
        <v>Record outcome of sales process</v>
      </c>
      <c r="M16" s="5" t="n">
        <f aca="false">'Service x Process'!AH18</f>
        <v>2</v>
      </c>
      <c r="N16" s="5" t="s">
        <v>650</v>
      </c>
      <c r="O16" s="5"/>
    </row>
    <row r="17" customFormat="false" ht="23.85" hidden="false" customHeight="false" outlineLevel="0" collapsed="false">
      <c r="A17" s="5" t="s">
        <v>753</v>
      </c>
      <c r="B17" s="5" t="s">
        <v>754</v>
      </c>
      <c r="C17" s="4" t="s">
        <v>755</v>
      </c>
      <c r="D17" s="5" t="s">
        <v>756</v>
      </c>
      <c r="E17" s="5" t="s">
        <v>731</v>
      </c>
      <c r="F17" s="5" t="s">
        <v>313</v>
      </c>
      <c r="G17" s="5" t="s">
        <v>647</v>
      </c>
      <c r="H17" s="5" t="s">
        <v>757</v>
      </c>
      <c r="I17" s="5" t="s">
        <v>758</v>
      </c>
      <c r="J17" s="5" t="s">
        <v>759</v>
      </c>
      <c r="K17" s="5" t="s">
        <v>626</v>
      </c>
      <c r="L17" s="5" t="str">
        <f aca="false">IFERROR(TRIM(INDEX(Process!$D$2:$D$230,MATCH(K17,Process!$A$2:$A$230,0))),"not found")</f>
        <v>Offering certification</v>
      </c>
      <c r="M17" s="5" t="n">
        <f aca="false">'Service x Process'!AH19</f>
        <v>2</v>
      </c>
      <c r="N17" s="5" t="s">
        <v>650</v>
      </c>
      <c r="O17" s="5" t="s">
        <v>760</v>
      </c>
    </row>
    <row r="18" customFormat="false" ht="23.85" hidden="false" customHeight="false" outlineLevel="0" collapsed="false">
      <c r="A18" s="5" t="s">
        <v>761</v>
      </c>
      <c r="B18" s="5" t="s">
        <v>754</v>
      </c>
      <c r="C18" s="4" t="s">
        <v>762</v>
      </c>
      <c r="D18" s="5" t="s">
        <v>763</v>
      </c>
      <c r="E18" s="5" t="s">
        <v>648</v>
      </c>
      <c r="F18" s="5" t="s">
        <v>313</v>
      </c>
      <c r="G18" s="5" t="s">
        <v>656</v>
      </c>
      <c r="H18" s="5" t="s">
        <v>764</v>
      </c>
      <c r="I18" s="5" t="s">
        <v>765</v>
      </c>
      <c r="J18" s="5" t="s">
        <v>752</v>
      </c>
      <c r="K18" s="5" t="s">
        <v>395</v>
      </c>
      <c r="L18" s="5" t="str">
        <f aca="false">IFERROR(TRIM(INDEX(Process!$D$2:$D$230,MATCH(K18,Process!$A$2:$A$230,0))),"not found")</f>
        <v>Develop opportunity win plans</v>
      </c>
      <c r="M18" s="5" t="n">
        <f aca="false">'Service x Process'!AH20</f>
        <v>2</v>
      </c>
      <c r="N18" s="5" t="s">
        <v>650</v>
      </c>
      <c r="O18" s="5" t="s">
        <v>766</v>
      </c>
    </row>
    <row r="19" customFormat="false" ht="23.85" hidden="false" customHeight="false" outlineLevel="0" collapsed="false">
      <c r="A19" s="5" t="s">
        <v>767</v>
      </c>
      <c r="B19" s="5" t="s">
        <v>754</v>
      </c>
      <c r="C19" s="4" t="s">
        <v>768</v>
      </c>
      <c r="D19" s="5" t="s">
        <v>769</v>
      </c>
      <c r="E19" s="5" t="s">
        <v>731</v>
      </c>
      <c r="F19" s="5" t="s">
        <v>68</v>
      </c>
      <c r="G19" s="5" t="s">
        <v>647</v>
      </c>
      <c r="H19" s="5" t="s">
        <v>770</v>
      </c>
      <c r="I19" s="5" t="s">
        <v>771</v>
      </c>
      <c r="J19" s="5" t="s">
        <v>772</v>
      </c>
      <c r="K19" s="5" t="s">
        <v>600</v>
      </c>
      <c r="L19" s="5" t="str">
        <f aca="false">IFERROR(TRIM(INDEX(Process!$D$2:$D$230,MATCH(K19,Process!$A$2:$A$230,0))),"not found")</f>
        <v>Provide marketing materials to sales partners/alliances</v>
      </c>
      <c r="M19" s="5" t="n">
        <f aca="false">'Service x Process'!AH21</f>
        <v>3</v>
      </c>
      <c r="N19" s="5" t="s">
        <v>650</v>
      </c>
      <c r="O19" s="5" t="s">
        <v>773</v>
      </c>
    </row>
    <row r="20" customFormat="false" ht="23.85" hidden="false" customHeight="false" outlineLevel="0" collapsed="false">
      <c r="A20" s="5" t="s">
        <v>774</v>
      </c>
      <c r="B20" s="5" t="s">
        <v>775</v>
      </c>
      <c r="C20" s="4" t="s">
        <v>776</v>
      </c>
      <c r="D20" s="5" t="s">
        <v>777</v>
      </c>
      <c r="E20" s="5" t="s">
        <v>648</v>
      </c>
      <c r="F20" s="5" t="s">
        <v>68</v>
      </c>
      <c r="G20" s="5" t="s">
        <v>708</v>
      </c>
      <c r="H20" s="5" t="s">
        <v>778</v>
      </c>
      <c r="I20" s="5" t="s">
        <v>779</v>
      </c>
      <c r="J20" s="5" t="s">
        <v>780</v>
      </c>
      <c r="K20" s="5" t="s">
        <v>268</v>
      </c>
      <c r="L20" s="5" t="str">
        <f aca="false">IFERROR(TRIM(INDEX(Process!$D$2:$D$230,MATCH(K20,Process!$A$2:$A$230,0))),"not found")</f>
        <v>Hand off marketing-qualified leads to sales</v>
      </c>
      <c r="M20" s="5" t="n">
        <f aca="false">'Service x Process'!AH22</f>
        <v>2</v>
      </c>
      <c r="N20" s="5" t="s">
        <v>650</v>
      </c>
      <c r="O20" s="5" t="s">
        <v>781</v>
      </c>
    </row>
    <row r="21" customFormat="false" ht="23.85" hidden="false" customHeight="false" outlineLevel="0" collapsed="false">
      <c r="A21" s="5" t="s">
        <v>782</v>
      </c>
      <c r="B21" s="5" t="s">
        <v>775</v>
      </c>
      <c r="C21" s="4" t="s">
        <v>783</v>
      </c>
      <c r="D21" s="5" t="s">
        <v>784</v>
      </c>
      <c r="E21" s="5" t="s">
        <v>785</v>
      </c>
      <c r="F21" s="5" t="s">
        <v>68</v>
      </c>
      <c r="G21" s="5" t="s">
        <v>656</v>
      </c>
      <c r="H21" s="5" t="s">
        <v>786</v>
      </c>
      <c r="I21" s="5" t="s">
        <v>787</v>
      </c>
      <c r="J21" s="5" t="s">
        <v>788</v>
      </c>
      <c r="K21" s="5" t="s">
        <v>89</v>
      </c>
      <c r="L21" s="5" t="str">
        <f aca="false">IFERROR(TRIM(INDEX(Process!$D$2:$D$230,MATCH(K21,Process!$A$2:$A$230,0))),"not found")</f>
        <v>Analyze competing organizations, competitive/substitute products/services</v>
      </c>
      <c r="M21" s="5" t="n">
        <f aca="false">'Service x Process'!AH23</f>
        <v>2</v>
      </c>
      <c r="N21" s="5" t="s">
        <v>650</v>
      </c>
      <c r="O21" s="5" t="s">
        <v>773</v>
      </c>
    </row>
    <row r="22" customFormat="false" ht="23.85" hidden="false" customHeight="false" outlineLevel="0" collapsed="false">
      <c r="A22" s="5" t="s">
        <v>789</v>
      </c>
      <c r="B22" s="5" t="s">
        <v>775</v>
      </c>
      <c r="C22" s="4" t="s">
        <v>790</v>
      </c>
      <c r="D22" s="5" t="s">
        <v>791</v>
      </c>
      <c r="E22" s="5" t="s">
        <v>707</v>
      </c>
      <c r="F22" s="5" t="s">
        <v>127</v>
      </c>
      <c r="G22" s="5" t="s">
        <v>647</v>
      </c>
      <c r="H22" s="5" t="s">
        <v>792</v>
      </c>
      <c r="I22" s="5" t="s">
        <v>790</v>
      </c>
      <c r="J22" s="5" t="s">
        <v>793</v>
      </c>
      <c r="K22" s="5" t="s">
        <v>131</v>
      </c>
      <c r="L22" s="5" t="str">
        <f aca="false">IFERROR(TRIM(INDEX(Process!$D$2:$D$230,MATCH(K22,Process!$A$2:$A$230,0))),"not found")</f>
        <v>Establish guidelines for applying pricing and discounting of products/services</v>
      </c>
      <c r="M22" s="5" t="n">
        <f aca="false">'Service x Process'!AH24</f>
        <v>2</v>
      </c>
      <c r="N22" s="5" t="s">
        <v>650</v>
      </c>
      <c r="O22" s="5"/>
    </row>
    <row r="23" customFormat="false" ht="23.85" hidden="false" customHeight="false" outlineLevel="0" collapsed="false">
      <c r="A23" s="5" t="s">
        <v>794</v>
      </c>
      <c r="B23" s="5" t="s">
        <v>775</v>
      </c>
      <c r="C23" s="4" t="s">
        <v>795</v>
      </c>
      <c r="D23" s="5" t="s">
        <v>796</v>
      </c>
      <c r="E23" s="5" t="s">
        <v>648</v>
      </c>
      <c r="F23" s="5" t="s">
        <v>127</v>
      </c>
      <c r="G23" s="5" t="s">
        <v>656</v>
      </c>
      <c r="H23" s="5" t="s">
        <v>797</v>
      </c>
      <c r="I23" s="5" t="s">
        <v>798</v>
      </c>
      <c r="J23" s="5" t="s">
        <v>799</v>
      </c>
      <c r="K23" s="5" t="s">
        <v>540</v>
      </c>
      <c r="L23" s="5" t="str">
        <f aca="false">IFERROR(TRIM(INDEX(Process!$D$2:$D$230,MATCH(K23,Process!$A$2:$A$230,0))),"not found")</f>
        <v>Quote issue</v>
      </c>
      <c r="M23" s="5" t="n">
        <f aca="false">'Service x Process'!AH25</f>
        <v>2</v>
      </c>
      <c r="N23" s="5" t="s">
        <v>650</v>
      </c>
      <c r="O23" s="5" t="s">
        <v>800</v>
      </c>
    </row>
    <row r="24" customFormat="false" ht="23.85" hidden="false" customHeight="false" outlineLevel="0" collapsed="false">
      <c r="A24" s="5" t="s">
        <v>801</v>
      </c>
      <c r="B24" s="5" t="s">
        <v>775</v>
      </c>
      <c r="C24" s="4" t="s">
        <v>802</v>
      </c>
      <c r="D24" s="5" t="s">
        <v>803</v>
      </c>
      <c r="E24" s="5" t="s">
        <v>707</v>
      </c>
      <c r="F24" s="5" t="s">
        <v>127</v>
      </c>
      <c r="G24" s="5" t="s">
        <v>647</v>
      </c>
      <c r="H24" s="5" t="s">
        <v>804</v>
      </c>
      <c r="I24" s="5" t="s">
        <v>805</v>
      </c>
      <c r="J24" s="5" t="s">
        <v>453</v>
      </c>
      <c r="K24" s="5" t="s">
        <v>482</v>
      </c>
      <c r="L24" s="5" t="str">
        <f aca="false">IFERROR(TRIM(INDEX(Process!$D$2:$D$230,MATCH(K24,Process!$A$2:$A$230,0))),"not found")</f>
        <v>Manage internal approvals</v>
      </c>
      <c r="M24" s="5" t="n">
        <f aca="false">'Service x Process'!AH26</f>
        <v>1</v>
      </c>
      <c r="N24" s="5" t="s">
        <v>650</v>
      </c>
      <c r="O24" s="5" t="s">
        <v>806</v>
      </c>
    </row>
    <row r="25" customFormat="false" ht="23.85" hidden="false" customHeight="false" outlineLevel="0" collapsed="false">
      <c r="A25" s="5" t="s">
        <v>807</v>
      </c>
      <c r="B25" s="5" t="s">
        <v>775</v>
      </c>
      <c r="C25" s="4" t="s">
        <v>808</v>
      </c>
      <c r="D25" s="5" t="s">
        <v>809</v>
      </c>
      <c r="E25" s="5" t="s">
        <v>648</v>
      </c>
      <c r="F25" s="5" t="s">
        <v>810</v>
      </c>
      <c r="G25" s="5" t="s">
        <v>647</v>
      </c>
      <c r="H25" s="5" t="s">
        <v>811</v>
      </c>
      <c r="I25" s="5" t="s">
        <v>812</v>
      </c>
      <c r="J25" s="5" t="s">
        <v>453</v>
      </c>
      <c r="K25" s="5" t="s">
        <v>479</v>
      </c>
      <c r="L25" s="5" t="str">
        <f aca="false">IFERROR(TRIM(INDEX(Process!$D$2:$D$230,MATCH(K25,Process!$A$2:$A$230,0))),"not found")</f>
        <v>Manage internal reviews</v>
      </c>
      <c r="M25" s="5" t="n">
        <f aca="false">'Service x Process'!AH27</f>
        <v>1</v>
      </c>
      <c r="N25" s="5" t="s">
        <v>650</v>
      </c>
      <c r="O25" s="5" t="s">
        <v>813</v>
      </c>
    </row>
    <row r="26" customFormat="false" ht="23.85" hidden="false" customHeight="false" outlineLevel="0" collapsed="false">
      <c r="A26" s="5" t="s">
        <v>814</v>
      </c>
      <c r="B26" s="5" t="s">
        <v>775</v>
      </c>
      <c r="C26" s="4" t="s">
        <v>815</v>
      </c>
      <c r="D26" s="5" t="s">
        <v>816</v>
      </c>
      <c r="E26" s="5" t="s">
        <v>817</v>
      </c>
      <c r="F26" s="5" t="s">
        <v>139</v>
      </c>
      <c r="G26" s="5" t="s">
        <v>656</v>
      </c>
      <c r="H26" s="5" t="s">
        <v>818</v>
      </c>
      <c r="I26" s="5" t="s">
        <v>819</v>
      </c>
      <c r="J26" s="5" t="s">
        <v>820</v>
      </c>
      <c r="K26" s="5" t="s">
        <v>606</v>
      </c>
      <c r="L26" s="5" t="str">
        <f aca="false">IFERROR(TRIM(INDEX(Process!$D$2:$D$230,MATCH(K26,Process!$A$2:$A$230,0))),"not found")</f>
        <v>Register partner opportunities</v>
      </c>
      <c r="M26" s="5" t="n">
        <f aca="false">'Service x Process'!AH28</f>
        <v>3</v>
      </c>
      <c r="N26" s="5" t="s">
        <v>650</v>
      </c>
      <c r="O26" s="5" t="s">
        <v>821</v>
      </c>
    </row>
    <row r="27" customFormat="false" ht="23.85" hidden="false" customHeight="false" outlineLevel="0" collapsed="false">
      <c r="A27" s="5" t="s">
        <v>822</v>
      </c>
      <c r="B27" s="5" t="s">
        <v>775</v>
      </c>
      <c r="C27" s="4" t="s">
        <v>823</v>
      </c>
      <c r="D27" s="5" t="s">
        <v>824</v>
      </c>
      <c r="E27" s="5" t="s">
        <v>825</v>
      </c>
      <c r="F27" s="5" t="s">
        <v>826</v>
      </c>
      <c r="G27" s="5" t="s">
        <v>656</v>
      </c>
      <c r="H27" s="5" t="s">
        <v>827</v>
      </c>
      <c r="I27" s="5" t="s">
        <v>828</v>
      </c>
      <c r="J27" s="5" t="s">
        <v>543</v>
      </c>
      <c r="K27" s="5" t="s">
        <v>586</v>
      </c>
      <c r="L27" s="5" t="str">
        <f aca="false">IFERROR(TRIM(INDEX(Process!$D$2:$D$230,MATCH(K27,Process!$A$2:$A$230,0))),"not found")</f>
        <v>Hand off the client to implementation</v>
      </c>
      <c r="M27" s="5" t="n">
        <f aca="false">'Service x Process'!AH29</f>
        <v>1</v>
      </c>
      <c r="N27" s="5" t="s">
        <v>650</v>
      </c>
      <c r="O27" s="5" t="s">
        <v>829</v>
      </c>
    </row>
  </sheetData>
  <autoFilter ref="A1:O2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H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4"/>
    <col collapsed="false" customWidth="true" hidden="false" outlineLevel="0" max="33" min="3" style="0" width="5.2"/>
    <col collapsed="false" customWidth="true" hidden="false" outlineLevel="0" max="34" min="34" style="0" width="10"/>
  </cols>
  <sheetData>
    <row r="1" customFormat="false" ht="23.85" hidden="false" customHeight="false" outlineLevel="0" collapsed="false">
      <c r="A1" s="13" t="s">
        <v>45</v>
      </c>
      <c r="B1" s="13" t="s">
        <v>35</v>
      </c>
      <c r="C1" s="14" t="s">
        <v>69</v>
      </c>
      <c r="D1" s="14" t="s">
        <v>96</v>
      </c>
      <c r="E1" s="14" t="s">
        <v>114</v>
      </c>
      <c r="F1" s="14" t="s">
        <v>125</v>
      </c>
      <c r="G1" s="14" t="s">
        <v>137</v>
      </c>
      <c r="H1" s="14" t="s">
        <v>164</v>
      </c>
      <c r="I1" s="14" t="s">
        <v>176</v>
      </c>
      <c r="J1" s="14" t="s">
        <v>196</v>
      </c>
      <c r="K1" s="14" t="s">
        <v>211</v>
      </c>
      <c r="L1" s="14" t="s">
        <v>213</v>
      </c>
      <c r="M1" s="14" t="s">
        <v>223</v>
      </c>
      <c r="N1" s="14" t="s">
        <v>250</v>
      </c>
      <c r="O1" s="14" t="s">
        <v>273</v>
      </c>
      <c r="P1" s="14" t="s">
        <v>287</v>
      </c>
      <c r="Q1" s="14" t="s">
        <v>314</v>
      </c>
      <c r="R1" s="14" t="s">
        <v>327</v>
      </c>
      <c r="S1" s="14" t="s">
        <v>358</v>
      </c>
      <c r="T1" s="14" t="s">
        <v>375</v>
      </c>
      <c r="U1" s="14" t="s">
        <v>377</v>
      </c>
      <c r="V1" s="14" t="s">
        <v>381</v>
      </c>
      <c r="W1" s="14" t="s">
        <v>428</v>
      </c>
      <c r="X1" s="14" t="s">
        <v>437</v>
      </c>
      <c r="Y1" s="14" t="s">
        <v>453</v>
      </c>
      <c r="Z1" s="14" t="s">
        <v>491</v>
      </c>
      <c r="AA1" s="14" t="s">
        <v>503</v>
      </c>
      <c r="AB1" s="14" t="s">
        <v>519</v>
      </c>
      <c r="AC1" s="14" t="s">
        <v>531</v>
      </c>
      <c r="AD1" s="14" t="s">
        <v>543</v>
      </c>
      <c r="AE1" s="14" t="s">
        <v>589</v>
      </c>
      <c r="AF1" s="14" t="s">
        <v>609</v>
      </c>
      <c r="AG1" s="14" t="s">
        <v>619</v>
      </c>
      <c r="AH1" s="14" t="s">
        <v>830</v>
      </c>
    </row>
    <row r="2" customFormat="false" ht="189.75" hidden="false" customHeight="true" outlineLevel="0" collapsed="false">
      <c r="A2" s="13"/>
      <c r="B2" s="13" t="s">
        <v>831</v>
      </c>
      <c r="C2" s="15" t="s">
        <v>832</v>
      </c>
      <c r="D2" s="15" t="s">
        <v>833</v>
      </c>
      <c r="E2" s="15" t="s">
        <v>834</v>
      </c>
      <c r="F2" s="15" t="s">
        <v>835</v>
      </c>
      <c r="G2" s="15" t="s">
        <v>836</v>
      </c>
      <c r="H2" s="15" t="s">
        <v>837</v>
      </c>
      <c r="I2" s="15" t="s">
        <v>838</v>
      </c>
      <c r="J2" s="15" t="s">
        <v>839</v>
      </c>
      <c r="K2" s="15" t="s">
        <v>840</v>
      </c>
      <c r="L2" s="15" t="s">
        <v>841</v>
      </c>
      <c r="M2" s="15" t="s">
        <v>842</v>
      </c>
      <c r="N2" s="15" t="s">
        <v>843</v>
      </c>
      <c r="O2" s="15" t="s">
        <v>844</v>
      </c>
      <c r="P2" s="15" t="s">
        <v>845</v>
      </c>
      <c r="Q2" s="15" t="s">
        <v>846</v>
      </c>
      <c r="R2" s="15" t="s">
        <v>847</v>
      </c>
      <c r="S2" s="15" t="s">
        <v>848</v>
      </c>
      <c r="T2" s="15" t="s">
        <v>849</v>
      </c>
      <c r="U2" s="15" t="s">
        <v>850</v>
      </c>
      <c r="V2" s="15" t="s">
        <v>851</v>
      </c>
      <c r="W2" s="15" t="s">
        <v>684</v>
      </c>
      <c r="X2" s="15" t="s">
        <v>852</v>
      </c>
      <c r="Y2" s="15" t="s">
        <v>853</v>
      </c>
      <c r="Z2" s="15" t="s">
        <v>854</v>
      </c>
      <c r="AA2" s="15" t="s">
        <v>855</v>
      </c>
      <c r="AB2" s="15" t="s">
        <v>856</v>
      </c>
      <c r="AC2" s="15" t="s">
        <v>795</v>
      </c>
      <c r="AD2" s="15" t="s">
        <v>857</v>
      </c>
      <c r="AE2" s="15" t="s">
        <v>858</v>
      </c>
      <c r="AF2" s="15" t="s">
        <v>859</v>
      </c>
      <c r="AG2" s="15" t="s">
        <v>860</v>
      </c>
      <c r="AH2" s="14"/>
    </row>
    <row r="3" customFormat="false" ht="105" hidden="false" customHeight="true" outlineLevel="0" collapsed="false">
      <c r="A3" s="13"/>
      <c r="B3" s="13" t="s">
        <v>861</v>
      </c>
      <c r="C3" s="15" t="s">
        <v>68</v>
      </c>
      <c r="D3" s="15" t="s">
        <v>68</v>
      </c>
      <c r="E3" s="15" t="s">
        <v>68</v>
      </c>
      <c r="F3" s="15" t="s">
        <v>127</v>
      </c>
      <c r="G3" s="15" t="s">
        <v>139</v>
      </c>
      <c r="H3" s="15" t="s">
        <v>139</v>
      </c>
      <c r="I3" s="15" t="s">
        <v>68</v>
      </c>
      <c r="J3" s="15" t="s">
        <v>68</v>
      </c>
      <c r="K3" s="15" t="s">
        <v>68</v>
      </c>
      <c r="L3" s="15" t="s">
        <v>68</v>
      </c>
      <c r="M3" s="15" t="s">
        <v>127</v>
      </c>
      <c r="N3" s="15" t="s">
        <v>68</v>
      </c>
      <c r="O3" s="15" t="s">
        <v>68</v>
      </c>
      <c r="P3" s="15" t="s">
        <v>68</v>
      </c>
      <c r="Q3" s="15" t="s">
        <v>313</v>
      </c>
      <c r="R3" s="15" t="s">
        <v>139</v>
      </c>
      <c r="S3" s="15" t="s">
        <v>313</v>
      </c>
      <c r="T3" s="15" t="s">
        <v>313</v>
      </c>
      <c r="U3" s="15" t="s">
        <v>313</v>
      </c>
      <c r="V3" s="15" t="s">
        <v>313</v>
      </c>
      <c r="W3" s="15" t="s">
        <v>313</v>
      </c>
      <c r="X3" s="15" t="s">
        <v>313</v>
      </c>
      <c r="Y3" s="15" t="s">
        <v>313</v>
      </c>
      <c r="Z3" s="15" t="s">
        <v>313</v>
      </c>
      <c r="AA3" s="15" t="s">
        <v>313</v>
      </c>
      <c r="AB3" s="15" t="s">
        <v>313</v>
      </c>
      <c r="AC3" s="15" t="s">
        <v>127</v>
      </c>
      <c r="AD3" s="15" t="s">
        <v>313</v>
      </c>
      <c r="AE3" s="15" t="s">
        <v>139</v>
      </c>
      <c r="AF3" s="15" t="s">
        <v>313</v>
      </c>
      <c r="AG3" s="15" t="s">
        <v>313</v>
      </c>
      <c r="AH3" s="14"/>
    </row>
    <row r="4" customFormat="false" ht="15" hidden="false" customHeight="false" outlineLevel="0" collapsed="false">
      <c r="A4" s="16" t="s">
        <v>642</v>
      </c>
      <c r="B4" s="17" t="s">
        <v>644</v>
      </c>
      <c r="C4" s="18"/>
      <c r="D4" s="18"/>
      <c r="E4" s="18"/>
      <c r="F4" s="18"/>
      <c r="G4" s="18"/>
      <c r="H4" s="18"/>
      <c r="I4" s="18"/>
      <c r="J4" s="18"/>
      <c r="K4" s="18"/>
      <c r="L4" s="18"/>
      <c r="M4" s="18"/>
      <c r="N4" s="18"/>
      <c r="O4" s="18"/>
      <c r="P4" s="18"/>
      <c r="Q4" s="18"/>
      <c r="R4" s="18"/>
      <c r="S4" s="18"/>
      <c r="T4" s="18"/>
      <c r="U4" s="18"/>
      <c r="V4" s="18" t="s">
        <v>862</v>
      </c>
      <c r="W4" s="18"/>
      <c r="X4" s="18"/>
      <c r="Y4" s="18"/>
      <c r="Z4" s="18"/>
      <c r="AA4" s="18"/>
      <c r="AB4" s="18"/>
      <c r="AC4" s="18"/>
      <c r="AD4" s="18"/>
      <c r="AE4" s="18"/>
      <c r="AF4" s="18"/>
      <c r="AG4" s="18"/>
      <c r="AH4" s="19" t="n">
        <f aca="false">COUNTA(C4:AG4)</f>
        <v>1</v>
      </c>
    </row>
    <row r="5" customFormat="false" ht="15" hidden="false" customHeight="false" outlineLevel="0" collapsed="false">
      <c r="A5" s="16" t="s">
        <v>652</v>
      </c>
      <c r="B5" s="17" t="s">
        <v>653</v>
      </c>
      <c r="C5" s="18"/>
      <c r="D5" s="18"/>
      <c r="E5" s="18"/>
      <c r="F5" s="18"/>
      <c r="G5" s="18"/>
      <c r="H5" s="18"/>
      <c r="I5" s="18"/>
      <c r="J5" s="18"/>
      <c r="K5" s="18"/>
      <c r="L5" s="18"/>
      <c r="M5" s="18"/>
      <c r="N5" s="18"/>
      <c r="O5" s="18"/>
      <c r="P5" s="18"/>
      <c r="Q5" s="18"/>
      <c r="R5" s="18"/>
      <c r="S5" s="18"/>
      <c r="T5" s="18"/>
      <c r="U5" s="18"/>
      <c r="V5" s="18"/>
      <c r="W5" s="18"/>
      <c r="X5" s="18"/>
      <c r="Y5" s="18"/>
      <c r="Z5" s="18" t="s">
        <v>863</v>
      </c>
      <c r="AA5" s="18" t="s">
        <v>862</v>
      </c>
      <c r="AB5" s="18"/>
      <c r="AC5" s="18"/>
      <c r="AD5" s="18"/>
      <c r="AE5" s="18"/>
      <c r="AF5" s="18"/>
      <c r="AG5" s="18"/>
      <c r="AH5" s="19" t="n">
        <f aca="false">COUNTA(C5:AG5)</f>
        <v>2</v>
      </c>
    </row>
    <row r="6" customFormat="false" ht="15" hidden="false" customHeight="false" outlineLevel="0" collapsed="false">
      <c r="A6" s="16" t="s">
        <v>662</v>
      </c>
      <c r="B6" s="17" t="s">
        <v>663</v>
      </c>
      <c r="C6" s="18"/>
      <c r="D6" s="18"/>
      <c r="E6" s="18"/>
      <c r="F6" s="18"/>
      <c r="G6" s="18"/>
      <c r="H6" s="18"/>
      <c r="I6" s="18"/>
      <c r="J6" s="18"/>
      <c r="K6" s="18"/>
      <c r="L6" s="18"/>
      <c r="M6" s="18"/>
      <c r="N6" s="18"/>
      <c r="O6" s="18"/>
      <c r="P6" s="18"/>
      <c r="Q6" s="18"/>
      <c r="R6" s="18"/>
      <c r="S6" s="18"/>
      <c r="T6" s="18"/>
      <c r="U6" s="18"/>
      <c r="V6" s="18"/>
      <c r="W6" s="18"/>
      <c r="X6" s="18"/>
      <c r="Y6" s="18"/>
      <c r="Z6" s="18" t="s">
        <v>863</v>
      </c>
      <c r="AA6" s="18"/>
      <c r="AB6" s="18" t="s">
        <v>862</v>
      </c>
      <c r="AC6" s="18"/>
      <c r="AD6" s="18"/>
      <c r="AE6" s="18"/>
      <c r="AF6" s="18"/>
      <c r="AG6" s="18"/>
      <c r="AH6" s="19" t="n">
        <f aca="false">COUNTA(C6:AG6)</f>
        <v>2</v>
      </c>
    </row>
    <row r="7" customFormat="false" ht="15" hidden="false" customHeight="false" outlineLevel="0" collapsed="false">
      <c r="A7" s="16" t="s">
        <v>669</v>
      </c>
      <c r="B7" s="17" t="s">
        <v>670</v>
      </c>
      <c r="C7" s="18"/>
      <c r="D7" s="18"/>
      <c r="E7" s="18"/>
      <c r="F7" s="18"/>
      <c r="G7" s="18"/>
      <c r="H7" s="18"/>
      <c r="I7" s="18"/>
      <c r="J7" s="18"/>
      <c r="K7" s="18"/>
      <c r="L7" s="18"/>
      <c r="M7" s="18"/>
      <c r="N7" s="18"/>
      <c r="O7" s="18"/>
      <c r="P7" s="18"/>
      <c r="Q7" s="18"/>
      <c r="R7" s="18"/>
      <c r="S7" s="18"/>
      <c r="T7" s="18"/>
      <c r="U7" s="18"/>
      <c r="V7" s="18" t="s">
        <v>862</v>
      </c>
      <c r="W7" s="18"/>
      <c r="X7" s="18"/>
      <c r="Y7" s="18"/>
      <c r="Z7" s="18"/>
      <c r="AA7" s="18"/>
      <c r="AB7" s="18"/>
      <c r="AC7" s="18"/>
      <c r="AD7" s="18"/>
      <c r="AE7" s="18"/>
      <c r="AF7" s="18"/>
      <c r="AG7" s="18"/>
      <c r="AH7" s="19" t="n">
        <f aca="false">COUNTA(C7:AG7)</f>
        <v>1</v>
      </c>
    </row>
    <row r="8" customFormat="false" ht="15" hidden="false" customHeight="false" outlineLevel="0" collapsed="false">
      <c r="A8" s="16" t="s">
        <v>675</v>
      </c>
      <c r="B8" s="17" t="s">
        <v>676</v>
      </c>
      <c r="C8" s="18"/>
      <c r="D8" s="18"/>
      <c r="E8" s="18"/>
      <c r="F8" s="18"/>
      <c r="G8" s="18"/>
      <c r="H8" s="18"/>
      <c r="I8" s="18"/>
      <c r="J8" s="18"/>
      <c r="K8" s="18"/>
      <c r="L8" s="18"/>
      <c r="M8" s="18"/>
      <c r="N8" s="18"/>
      <c r="O8" s="18"/>
      <c r="P8" s="18"/>
      <c r="Q8" s="18"/>
      <c r="R8" s="18"/>
      <c r="S8" s="18"/>
      <c r="T8" s="18"/>
      <c r="U8" s="18"/>
      <c r="V8" s="18"/>
      <c r="W8" s="18"/>
      <c r="X8" s="18"/>
      <c r="Y8" s="18" t="s">
        <v>862</v>
      </c>
      <c r="Z8" s="18" t="s">
        <v>863</v>
      </c>
      <c r="AA8" s="18"/>
      <c r="AB8" s="18"/>
      <c r="AC8" s="18" t="s">
        <v>863</v>
      </c>
      <c r="AD8" s="18"/>
      <c r="AE8" s="18"/>
      <c r="AF8" s="18"/>
      <c r="AG8" s="18"/>
      <c r="AH8" s="19" t="n">
        <f aca="false">COUNTA(C8:AG8)</f>
        <v>3</v>
      </c>
    </row>
    <row r="9" customFormat="false" ht="15" hidden="false" customHeight="false" outlineLevel="0" collapsed="false">
      <c r="A9" s="16" t="s">
        <v>683</v>
      </c>
      <c r="B9" s="17" t="s">
        <v>684</v>
      </c>
      <c r="C9" s="18"/>
      <c r="D9" s="18"/>
      <c r="E9" s="18"/>
      <c r="F9" s="18"/>
      <c r="G9" s="18"/>
      <c r="H9" s="18"/>
      <c r="I9" s="18"/>
      <c r="J9" s="18"/>
      <c r="K9" s="18"/>
      <c r="L9" s="18"/>
      <c r="M9" s="18"/>
      <c r="N9" s="18"/>
      <c r="O9" s="18"/>
      <c r="P9" s="18"/>
      <c r="Q9" s="18"/>
      <c r="R9" s="18"/>
      <c r="S9" s="18"/>
      <c r="T9" s="18"/>
      <c r="U9" s="18"/>
      <c r="V9" s="18"/>
      <c r="W9" s="18" t="s">
        <v>862</v>
      </c>
      <c r="X9" s="18"/>
      <c r="Y9" s="18"/>
      <c r="Z9" s="18"/>
      <c r="AA9" s="18"/>
      <c r="AB9" s="18"/>
      <c r="AC9" s="18"/>
      <c r="AD9" s="18"/>
      <c r="AE9" s="18"/>
      <c r="AF9" s="18"/>
      <c r="AG9" s="18"/>
      <c r="AH9" s="19" t="n">
        <f aca="false">COUNTA(C9:AG9)</f>
        <v>1</v>
      </c>
    </row>
    <row r="10" customFormat="false" ht="15" hidden="false" customHeight="false" outlineLevel="0" collapsed="false">
      <c r="A10" s="16" t="s">
        <v>688</v>
      </c>
      <c r="B10" s="17" t="s">
        <v>689</v>
      </c>
      <c r="C10" s="18"/>
      <c r="D10" s="18"/>
      <c r="E10" s="18"/>
      <c r="F10" s="18"/>
      <c r="G10" s="18"/>
      <c r="H10" s="18"/>
      <c r="I10" s="18"/>
      <c r="J10" s="18"/>
      <c r="K10" s="18"/>
      <c r="L10" s="18"/>
      <c r="M10" s="18"/>
      <c r="N10" s="18"/>
      <c r="O10" s="18"/>
      <c r="P10" s="18"/>
      <c r="Q10" s="18"/>
      <c r="R10" s="18"/>
      <c r="S10" s="18"/>
      <c r="T10" s="18"/>
      <c r="U10" s="18"/>
      <c r="V10" s="18" t="s">
        <v>862</v>
      </c>
      <c r="W10" s="18"/>
      <c r="X10" s="18"/>
      <c r="Y10" s="18"/>
      <c r="Z10" s="18"/>
      <c r="AA10" s="18"/>
      <c r="AB10" s="18"/>
      <c r="AC10" s="18"/>
      <c r="AD10" s="18" t="s">
        <v>863</v>
      </c>
      <c r="AE10" s="18"/>
      <c r="AF10" s="18"/>
      <c r="AG10" s="18"/>
      <c r="AH10" s="19" t="n">
        <f aca="false">COUNTA(C10:AG10)</f>
        <v>2</v>
      </c>
    </row>
    <row r="11" customFormat="false" ht="15" hidden="false" customHeight="false" outlineLevel="0" collapsed="false">
      <c r="A11" s="16" t="s">
        <v>696</v>
      </c>
      <c r="B11" s="17" t="s">
        <v>697</v>
      </c>
      <c r="C11" s="18"/>
      <c r="D11" s="18"/>
      <c r="E11" s="18"/>
      <c r="F11" s="18"/>
      <c r="G11" s="18"/>
      <c r="H11" s="18"/>
      <c r="I11" s="18"/>
      <c r="J11" s="18"/>
      <c r="K11" s="18"/>
      <c r="L11" s="18"/>
      <c r="M11" s="18"/>
      <c r="N11" s="18"/>
      <c r="O11" s="18"/>
      <c r="P11" s="18"/>
      <c r="Q11" s="18"/>
      <c r="R11" s="18"/>
      <c r="S11" s="18"/>
      <c r="T11" s="18"/>
      <c r="U11" s="18"/>
      <c r="V11" s="18"/>
      <c r="W11" s="18"/>
      <c r="X11" s="18" t="s">
        <v>863</v>
      </c>
      <c r="Y11" s="18"/>
      <c r="Z11" s="18"/>
      <c r="AA11" s="18"/>
      <c r="AB11" s="18"/>
      <c r="AC11" s="18"/>
      <c r="AD11" s="18" t="s">
        <v>862</v>
      </c>
      <c r="AE11" s="18"/>
      <c r="AF11" s="18"/>
      <c r="AG11" s="18"/>
      <c r="AH11" s="19" t="n">
        <f aca="false">COUNTA(C11:AG11)</f>
        <v>2</v>
      </c>
    </row>
    <row r="12" customFormat="false" ht="15" hidden="false" customHeight="false" outlineLevel="0" collapsed="false">
      <c r="A12" s="16" t="s">
        <v>703</v>
      </c>
      <c r="B12" s="17" t="s">
        <v>705</v>
      </c>
      <c r="C12" s="18"/>
      <c r="D12" s="18"/>
      <c r="E12" s="18"/>
      <c r="F12" s="18"/>
      <c r="G12" s="18"/>
      <c r="H12" s="18"/>
      <c r="I12" s="18"/>
      <c r="J12" s="18"/>
      <c r="K12" s="18"/>
      <c r="L12" s="18"/>
      <c r="M12" s="18"/>
      <c r="N12" s="18"/>
      <c r="O12" s="18"/>
      <c r="P12" s="18"/>
      <c r="Q12" s="18"/>
      <c r="R12" s="18"/>
      <c r="S12" s="18"/>
      <c r="T12" s="18"/>
      <c r="U12" s="18"/>
      <c r="V12" s="18" t="s">
        <v>862</v>
      </c>
      <c r="W12" s="18"/>
      <c r="X12" s="18"/>
      <c r="Y12" s="18"/>
      <c r="Z12" s="18"/>
      <c r="AA12" s="18"/>
      <c r="AB12" s="18"/>
      <c r="AC12" s="18"/>
      <c r="AD12" s="18"/>
      <c r="AE12" s="18"/>
      <c r="AF12" s="18"/>
      <c r="AG12" s="18"/>
      <c r="AH12" s="19" t="n">
        <f aca="false">COUNTA(C12:AG12)</f>
        <v>1</v>
      </c>
    </row>
    <row r="13" customFormat="false" ht="15" hidden="false" customHeight="false" outlineLevel="0" collapsed="false">
      <c r="A13" s="16" t="s">
        <v>712</v>
      </c>
      <c r="B13" s="17" t="s">
        <v>713</v>
      </c>
      <c r="C13" s="18"/>
      <c r="D13" s="18"/>
      <c r="E13" s="18"/>
      <c r="F13" s="18"/>
      <c r="G13" s="18"/>
      <c r="H13" s="18"/>
      <c r="I13" s="18"/>
      <c r="J13" s="18"/>
      <c r="K13" s="18"/>
      <c r="L13" s="18"/>
      <c r="M13" s="18"/>
      <c r="N13" s="18"/>
      <c r="O13" s="18"/>
      <c r="P13" s="18"/>
      <c r="Q13" s="18" t="s">
        <v>862</v>
      </c>
      <c r="R13" s="18"/>
      <c r="S13" s="18"/>
      <c r="T13" s="18"/>
      <c r="U13" s="18"/>
      <c r="V13" s="18" t="s">
        <v>863</v>
      </c>
      <c r="W13" s="18"/>
      <c r="X13" s="18"/>
      <c r="Y13" s="18"/>
      <c r="Z13" s="18"/>
      <c r="AA13" s="18"/>
      <c r="AB13" s="18"/>
      <c r="AC13" s="18"/>
      <c r="AD13" s="18"/>
      <c r="AE13" s="18"/>
      <c r="AF13" s="18"/>
      <c r="AG13" s="18"/>
      <c r="AH13" s="19" t="n">
        <f aca="false">COUNTA(C13:AG13)</f>
        <v>2</v>
      </c>
    </row>
    <row r="14" customFormat="false" ht="15" hidden="false" customHeight="false" outlineLevel="0" collapsed="false">
      <c r="A14" s="16" t="s">
        <v>720</v>
      </c>
      <c r="B14" s="17" t="s">
        <v>721</v>
      </c>
      <c r="C14" s="18"/>
      <c r="D14" s="18"/>
      <c r="E14" s="18"/>
      <c r="F14" s="18"/>
      <c r="G14" s="18"/>
      <c r="H14" s="18"/>
      <c r="I14" s="18"/>
      <c r="J14" s="18"/>
      <c r="K14" s="18"/>
      <c r="L14" s="18"/>
      <c r="M14" s="18"/>
      <c r="N14" s="18"/>
      <c r="O14" s="18"/>
      <c r="P14" s="18"/>
      <c r="Q14" s="18"/>
      <c r="R14" s="18"/>
      <c r="S14" s="18" t="s">
        <v>863</v>
      </c>
      <c r="T14" s="18" t="s">
        <v>862</v>
      </c>
      <c r="U14" s="18" t="s">
        <v>863</v>
      </c>
      <c r="V14" s="18" t="s">
        <v>863</v>
      </c>
      <c r="W14" s="18"/>
      <c r="X14" s="18"/>
      <c r="Y14" s="18"/>
      <c r="Z14" s="18"/>
      <c r="AA14" s="18"/>
      <c r="AB14" s="18"/>
      <c r="AC14" s="18"/>
      <c r="AD14" s="18"/>
      <c r="AE14" s="18"/>
      <c r="AF14" s="18"/>
      <c r="AG14" s="18"/>
      <c r="AH14" s="19" t="n">
        <f aca="false">COUNTA(C14:AG14)</f>
        <v>4</v>
      </c>
    </row>
    <row r="15" customFormat="false" ht="15" hidden="false" customHeight="false" outlineLevel="0" collapsed="false">
      <c r="A15" s="16" t="s">
        <v>728</v>
      </c>
      <c r="B15" s="17" t="s">
        <v>729</v>
      </c>
      <c r="C15" s="18"/>
      <c r="D15" s="18"/>
      <c r="E15" s="18"/>
      <c r="F15" s="18"/>
      <c r="G15" s="18"/>
      <c r="H15" s="18"/>
      <c r="I15" s="18"/>
      <c r="J15" s="18"/>
      <c r="K15" s="18"/>
      <c r="L15" s="18"/>
      <c r="M15" s="18"/>
      <c r="N15" s="18"/>
      <c r="O15" s="18"/>
      <c r="P15" s="18"/>
      <c r="Q15" s="18"/>
      <c r="R15" s="18"/>
      <c r="S15" s="18"/>
      <c r="T15" s="18"/>
      <c r="U15" s="18"/>
      <c r="V15" s="18"/>
      <c r="W15" s="18"/>
      <c r="X15" s="18"/>
      <c r="Y15" s="18"/>
      <c r="Z15" s="18"/>
      <c r="AA15" s="18"/>
      <c r="AB15" s="18"/>
      <c r="AC15" s="18"/>
      <c r="AD15" s="18"/>
      <c r="AE15" s="18"/>
      <c r="AF15" s="18" t="s">
        <v>862</v>
      </c>
      <c r="AG15" s="18"/>
      <c r="AH15" s="19" t="n">
        <f aca="false">COUNTA(C15:AG15)</f>
        <v>1</v>
      </c>
    </row>
    <row r="16" customFormat="false" ht="15" hidden="false" customHeight="false" outlineLevel="0" collapsed="false">
      <c r="A16" s="16" t="s">
        <v>735</v>
      </c>
      <c r="B16" s="17" t="s">
        <v>736</v>
      </c>
      <c r="C16" s="18"/>
      <c r="D16" s="18"/>
      <c r="E16" s="18"/>
      <c r="F16" s="18"/>
      <c r="G16" s="18"/>
      <c r="H16" s="18"/>
      <c r="I16" s="18"/>
      <c r="J16" s="18"/>
      <c r="K16" s="18"/>
      <c r="L16" s="18"/>
      <c r="M16" s="18"/>
      <c r="N16" s="18"/>
      <c r="O16" s="18"/>
      <c r="P16" s="18"/>
      <c r="Q16" s="18"/>
      <c r="R16" s="18"/>
      <c r="S16" s="18"/>
      <c r="T16" s="18"/>
      <c r="U16" s="18"/>
      <c r="V16" s="18"/>
      <c r="W16" s="18"/>
      <c r="X16" s="18"/>
      <c r="Y16" s="18"/>
      <c r="Z16" s="18"/>
      <c r="AA16" s="18"/>
      <c r="AB16" s="18"/>
      <c r="AC16" s="18"/>
      <c r="AD16" s="18" t="s">
        <v>862</v>
      </c>
      <c r="AE16" s="18"/>
      <c r="AF16" s="18"/>
      <c r="AG16" s="18"/>
      <c r="AH16" s="19" t="n">
        <f aca="false">COUNTA(C16:AG16)</f>
        <v>1</v>
      </c>
    </row>
    <row r="17" customFormat="false" ht="15" hidden="false" customHeight="false" outlineLevel="0" collapsed="false">
      <c r="A17" s="16" t="s">
        <v>740</v>
      </c>
      <c r="B17" s="17" t="s">
        <v>741</v>
      </c>
      <c r="C17" s="18"/>
      <c r="D17" s="18"/>
      <c r="E17" s="18"/>
      <c r="F17" s="18"/>
      <c r="G17" s="18"/>
      <c r="H17" s="18"/>
      <c r="I17" s="18"/>
      <c r="J17" s="18"/>
      <c r="K17" s="18"/>
      <c r="L17" s="18"/>
      <c r="M17" s="18"/>
      <c r="N17" s="18"/>
      <c r="O17" s="18"/>
      <c r="P17" s="18"/>
      <c r="Q17" s="18"/>
      <c r="R17" s="18"/>
      <c r="S17" s="18"/>
      <c r="T17" s="18"/>
      <c r="U17" s="18"/>
      <c r="V17" s="18"/>
      <c r="W17" s="18"/>
      <c r="X17" s="18" t="s">
        <v>862</v>
      </c>
      <c r="Y17" s="18"/>
      <c r="Z17" s="18"/>
      <c r="AA17" s="18"/>
      <c r="AB17" s="18"/>
      <c r="AC17" s="18"/>
      <c r="AD17" s="18" t="s">
        <v>863</v>
      </c>
      <c r="AE17" s="18"/>
      <c r="AF17" s="18"/>
      <c r="AG17" s="18"/>
      <c r="AH17" s="19" t="n">
        <f aca="false">COUNTA(C17:AG17)</f>
        <v>2</v>
      </c>
    </row>
    <row r="18" customFormat="false" ht="15" hidden="false" customHeight="false" outlineLevel="0" collapsed="false">
      <c r="A18" s="16" t="s">
        <v>747</v>
      </c>
      <c r="B18" s="17" t="s">
        <v>748</v>
      </c>
      <c r="C18" s="18"/>
      <c r="D18" s="18"/>
      <c r="E18" s="18"/>
      <c r="F18" s="18"/>
      <c r="G18" s="18"/>
      <c r="H18" s="18"/>
      <c r="I18" s="18"/>
      <c r="J18" s="18"/>
      <c r="K18" s="18"/>
      <c r="L18" s="18"/>
      <c r="M18" s="18"/>
      <c r="N18" s="18"/>
      <c r="O18" s="18"/>
      <c r="P18" s="18"/>
      <c r="Q18" s="18"/>
      <c r="R18" s="18"/>
      <c r="S18" s="18"/>
      <c r="T18" s="18"/>
      <c r="U18" s="18"/>
      <c r="V18" s="18" t="s">
        <v>862</v>
      </c>
      <c r="W18" s="18"/>
      <c r="X18" s="18"/>
      <c r="Y18" s="18" t="s">
        <v>863</v>
      </c>
      <c r="Z18" s="18"/>
      <c r="AA18" s="18"/>
      <c r="AB18" s="18"/>
      <c r="AC18" s="18"/>
      <c r="AD18" s="18"/>
      <c r="AE18" s="18"/>
      <c r="AF18" s="18"/>
      <c r="AG18" s="18"/>
      <c r="AH18" s="19" t="n">
        <f aca="false">COUNTA(C18:AG18)</f>
        <v>2</v>
      </c>
    </row>
    <row r="19" customFormat="false" ht="15" hidden="false" customHeight="false" outlineLevel="0" collapsed="false">
      <c r="A19" s="16" t="s">
        <v>753</v>
      </c>
      <c r="B19" s="17" t="s">
        <v>755</v>
      </c>
      <c r="C19" s="18"/>
      <c r="D19" s="18"/>
      <c r="E19" s="18"/>
      <c r="F19" s="18"/>
      <c r="G19" s="18"/>
      <c r="H19" s="18"/>
      <c r="I19" s="18"/>
      <c r="J19" s="18"/>
      <c r="K19" s="18"/>
      <c r="L19" s="18"/>
      <c r="M19" s="18"/>
      <c r="N19" s="18"/>
      <c r="O19" s="18"/>
      <c r="P19" s="18"/>
      <c r="Q19" s="18"/>
      <c r="R19" s="18"/>
      <c r="S19" s="18"/>
      <c r="T19" s="18"/>
      <c r="U19" s="18"/>
      <c r="V19" s="18"/>
      <c r="W19" s="18"/>
      <c r="X19" s="18"/>
      <c r="Y19" s="18"/>
      <c r="Z19" s="18"/>
      <c r="AA19" s="18"/>
      <c r="AB19" s="18"/>
      <c r="AC19" s="18"/>
      <c r="AD19" s="18"/>
      <c r="AE19" s="18" t="s">
        <v>863</v>
      </c>
      <c r="AF19" s="18"/>
      <c r="AG19" s="18" t="s">
        <v>862</v>
      </c>
      <c r="AH19" s="19" t="n">
        <f aca="false">COUNTA(C19:AG19)</f>
        <v>2</v>
      </c>
    </row>
    <row r="20" customFormat="false" ht="15" hidden="false" customHeight="false" outlineLevel="0" collapsed="false">
      <c r="A20" s="16" t="s">
        <v>761</v>
      </c>
      <c r="B20" s="17" t="s">
        <v>762</v>
      </c>
      <c r="C20" s="18"/>
      <c r="D20" s="18"/>
      <c r="E20" s="18"/>
      <c r="F20" s="18"/>
      <c r="G20" s="18"/>
      <c r="H20" s="18"/>
      <c r="I20" s="18"/>
      <c r="J20" s="18"/>
      <c r="K20" s="18"/>
      <c r="L20" s="18"/>
      <c r="M20" s="18"/>
      <c r="N20" s="18"/>
      <c r="O20" s="18"/>
      <c r="P20" s="18"/>
      <c r="Q20" s="18"/>
      <c r="R20" s="18"/>
      <c r="S20" s="18"/>
      <c r="T20" s="18"/>
      <c r="U20" s="18"/>
      <c r="V20" s="18" t="s">
        <v>862</v>
      </c>
      <c r="W20" s="18"/>
      <c r="X20" s="18"/>
      <c r="Y20" s="18" t="s">
        <v>863</v>
      </c>
      <c r="Z20" s="18"/>
      <c r="AA20" s="18"/>
      <c r="AB20" s="18"/>
      <c r="AC20" s="18"/>
      <c r="AD20" s="18"/>
      <c r="AE20" s="18"/>
      <c r="AF20" s="18"/>
      <c r="AG20" s="18"/>
      <c r="AH20" s="19" t="n">
        <f aca="false">COUNTA(C20:AG20)</f>
        <v>2</v>
      </c>
    </row>
    <row r="21" customFormat="false" ht="15" hidden="false" customHeight="false" outlineLevel="0" collapsed="false">
      <c r="A21" s="16" t="s">
        <v>767</v>
      </c>
      <c r="B21" s="17" t="s">
        <v>768</v>
      </c>
      <c r="C21" s="18" t="s">
        <v>863</v>
      </c>
      <c r="D21" s="18"/>
      <c r="E21" s="18" t="s">
        <v>863</v>
      </c>
      <c r="F21" s="18"/>
      <c r="G21" s="18"/>
      <c r="H21" s="18"/>
      <c r="I21" s="18"/>
      <c r="J21" s="18"/>
      <c r="K21" s="18"/>
      <c r="L21" s="18"/>
      <c r="M21" s="18"/>
      <c r="N21" s="18"/>
      <c r="O21" s="18"/>
      <c r="P21" s="18"/>
      <c r="Q21" s="18"/>
      <c r="R21" s="18"/>
      <c r="S21" s="18"/>
      <c r="T21" s="18"/>
      <c r="U21" s="18"/>
      <c r="V21" s="18"/>
      <c r="W21" s="18"/>
      <c r="X21" s="18"/>
      <c r="Y21" s="18"/>
      <c r="Z21" s="18"/>
      <c r="AA21" s="18"/>
      <c r="AB21" s="18"/>
      <c r="AC21" s="18"/>
      <c r="AD21" s="18"/>
      <c r="AE21" s="18" t="s">
        <v>862</v>
      </c>
      <c r="AF21" s="18"/>
      <c r="AG21" s="18"/>
      <c r="AH21" s="19" t="n">
        <f aca="false">COUNTA(C21:AG21)</f>
        <v>3</v>
      </c>
    </row>
    <row r="22" customFormat="false" ht="15" hidden="false" customHeight="false" outlineLevel="0" collapsed="false">
      <c r="A22" s="16" t="s">
        <v>774</v>
      </c>
      <c r="B22" s="17" t="s">
        <v>776</v>
      </c>
      <c r="C22" s="18"/>
      <c r="D22" s="18" t="s">
        <v>863</v>
      </c>
      <c r="E22" s="18"/>
      <c r="F22" s="18"/>
      <c r="G22" s="18"/>
      <c r="H22" s="18"/>
      <c r="I22" s="18"/>
      <c r="J22" s="18"/>
      <c r="K22" s="18"/>
      <c r="L22" s="18"/>
      <c r="M22" s="18"/>
      <c r="N22" s="18" t="s">
        <v>862</v>
      </c>
      <c r="O22" s="18"/>
      <c r="P22" s="18"/>
      <c r="Q22" s="18"/>
      <c r="R22" s="18"/>
      <c r="S22" s="18"/>
      <c r="T22" s="18"/>
      <c r="U22" s="18"/>
      <c r="V22" s="18"/>
      <c r="W22" s="18"/>
      <c r="X22" s="18"/>
      <c r="Y22" s="18"/>
      <c r="Z22" s="18"/>
      <c r="AA22" s="18"/>
      <c r="AB22" s="18"/>
      <c r="AC22" s="18"/>
      <c r="AD22" s="18"/>
      <c r="AE22" s="18"/>
      <c r="AF22" s="18"/>
      <c r="AG22" s="18"/>
      <c r="AH22" s="19" t="n">
        <f aca="false">COUNTA(C22:AG22)</f>
        <v>2</v>
      </c>
    </row>
    <row r="23" customFormat="false" ht="15" hidden="false" customHeight="false" outlineLevel="0" collapsed="false">
      <c r="A23" s="16" t="s">
        <v>782</v>
      </c>
      <c r="B23" s="17" t="s">
        <v>783</v>
      </c>
      <c r="C23" s="18" t="s">
        <v>862</v>
      </c>
      <c r="D23" s="18" t="s">
        <v>863</v>
      </c>
      <c r="E23" s="18"/>
      <c r="F23" s="18"/>
      <c r="G23" s="18"/>
      <c r="H23" s="18"/>
      <c r="I23" s="18"/>
      <c r="J23" s="18"/>
      <c r="K23" s="18"/>
      <c r="L23" s="18"/>
      <c r="M23" s="18"/>
      <c r="N23" s="18"/>
      <c r="O23" s="18"/>
      <c r="P23" s="18"/>
      <c r="Q23" s="18"/>
      <c r="R23" s="18"/>
      <c r="S23" s="18"/>
      <c r="T23" s="18"/>
      <c r="U23" s="18"/>
      <c r="V23" s="18"/>
      <c r="W23" s="18"/>
      <c r="X23" s="18"/>
      <c r="Y23" s="18"/>
      <c r="Z23" s="18"/>
      <c r="AA23" s="18"/>
      <c r="AB23" s="18"/>
      <c r="AC23" s="18"/>
      <c r="AD23" s="18"/>
      <c r="AE23" s="18"/>
      <c r="AF23" s="18"/>
      <c r="AG23" s="18"/>
      <c r="AH23" s="19" t="n">
        <f aca="false">COUNTA(C23:AG23)</f>
        <v>2</v>
      </c>
    </row>
    <row r="24" customFormat="false" ht="15" hidden="false" customHeight="false" outlineLevel="0" collapsed="false">
      <c r="A24" s="16" t="s">
        <v>789</v>
      </c>
      <c r="B24" s="17" t="s">
        <v>790</v>
      </c>
      <c r="C24" s="18"/>
      <c r="D24" s="18"/>
      <c r="E24" s="18"/>
      <c r="F24" s="18" t="s">
        <v>862</v>
      </c>
      <c r="G24" s="18"/>
      <c r="H24" s="18"/>
      <c r="I24" s="18"/>
      <c r="J24" s="18"/>
      <c r="K24" s="18"/>
      <c r="L24" s="18"/>
      <c r="M24" s="18" t="s">
        <v>863</v>
      </c>
      <c r="N24" s="18"/>
      <c r="O24" s="18"/>
      <c r="P24" s="18"/>
      <c r="Q24" s="18"/>
      <c r="R24" s="18"/>
      <c r="S24" s="18"/>
      <c r="T24" s="18"/>
      <c r="U24" s="18"/>
      <c r="V24" s="18"/>
      <c r="W24" s="18"/>
      <c r="X24" s="18"/>
      <c r="Y24" s="18"/>
      <c r="Z24" s="18"/>
      <c r="AA24" s="18"/>
      <c r="AB24" s="18"/>
      <c r="AC24" s="18"/>
      <c r="AD24" s="18"/>
      <c r="AE24" s="18"/>
      <c r="AF24" s="18"/>
      <c r="AG24" s="18"/>
      <c r="AH24" s="19" t="n">
        <f aca="false">COUNTA(C24:AG24)</f>
        <v>2</v>
      </c>
    </row>
    <row r="25" customFormat="false" ht="15" hidden="false" customHeight="false" outlineLevel="0" collapsed="false">
      <c r="A25" s="16" t="s">
        <v>794</v>
      </c>
      <c r="B25" s="17" t="s">
        <v>795</v>
      </c>
      <c r="C25" s="18"/>
      <c r="D25" s="18"/>
      <c r="E25" s="18"/>
      <c r="F25" s="18"/>
      <c r="G25" s="18"/>
      <c r="H25" s="18"/>
      <c r="I25" s="18"/>
      <c r="J25" s="18"/>
      <c r="K25" s="18"/>
      <c r="L25" s="18"/>
      <c r="M25" s="18"/>
      <c r="N25" s="18"/>
      <c r="O25" s="18"/>
      <c r="P25" s="18"/>
      <c r="Q25" s="18"/>
      <c r="R25" s="18"/>
      <c r="S25" s="18"/>
      <c r="T25" s="18"/>
      <c r="U25" s="18"/>
      <c r="V25" s="18"/>
      <c r="W25" s="18"/>
      <c r="X25" s="18"/>
      <c r="Y25" s="18"/>
      <c r="Z25" s="18" t="s">
        <v>863</v>
      </c>
      <c r="AA25" s="18"/>
      <c r="AB25" s="18"/>
      <c r="AC25" s="18" t="s">
        <v>862</v>
      </c>
      <c r="AD25" s="18"/>
      <c r="AE25" s="18"/>
      <c r="AF25" s="18"/>
      <c r="AG25" s="18"/>
      <c r="AH25" s="19" t="n">
        <f aca="false">COUNTA(C25:AG25)</f>
        <v>2</v>
      </c>
    </row>
    <row r="26" customFormat="false" ht="15" hidden="false" customHeight="false" outlineLevel="0" collapsed="false">
      <c r="A26" s="16" t="s">
        <v>801</v>
      </c>
      <c r="B26" s="17" t="s">
        <v>802</v>
      </c>
      <c r="C26" s="18"/>
      <c r="D26" s="18"/>
      <c r="E26" s="18"/>
      <c r="F26" s="18"/>
      <c r="G26" s="18"/>
      <c r="H26" s="18"/>
      <c r="I26" s="18"/>
      <c r="J26" s="18"/>
      <c r="K26" s="18"/>
      <c r="L26" s="18"/>
      <c r="M26" s="18"/>
      <c r="N26" s="18"/>
      <c r="O26" s="18"/>
      <c r="P26" s="18"/>
      <c r="Q26" s="18"/>
      <c r="R26" s="18"/>
      <c r="S26" s="18"/>
      <c r="T26" s="18"/>
      <c r="U26" s="18"/>
      <c r="V26" s="18"/>
      <c r="W26" s="18"/>
      <c r="X26" s="18"/>
      <c r="Y26" s="18" t="s">
        <v>862</v>
      </c>
      <c r="Z26" s="18"/>
      <c r="AA26" s="18"/>
      <c r="AB26" s="18"/>
      <c r="AC26" s="18"/>
      <c r="AD26" s="18"/>
      <c r="AE26" s="18"/>
      <c r="AF26" s="18"/>
      <c r="AG26" s="18"/>
      <c r="AH26" s="19" t="n">
        <f aca="false">COUNTA(C26:AG26)</f>
        <v>1</v>
      </c>
    </row>
    <row r="27" customFormat="false" ht="15" hidden="false" customHeight="false" outlineLevel="0" collapsed="false">
      <c r="A27" s="16" t="s">
        <v>807</v>
      </c>
      <c r="B27" s="17" t="s">
        <v>808</v>
      </c>
      <c r="C27" s="18"/>
      <c r="D27" s="18"/>
      <c r="E27" s="18"/>
      <c r="F27" s="18"/>
      <c r="G27" s="18"/>
      <c r="H27" s="18"/>
      <c r="I27" s="18"/>
      <c r="J27" s="18"/>
      <c r="K27" s="18"/>
      <c r="L27" s="18"/>
      <c r="M27" s="18"/>
      <c r="N27" s="18"/>
      <c r="O27" s="18"/>
      <c r="P27" s="18"/>
      <c r="Q27" s="18"/>
      <c r="R27" s="18"/>
      <c r="S27" s="18"/>
      <c r="T27" s="18"/>
      <c r="U27" s="18"/>
      <c r="V27" s="18"/>
      <c r="W27" s="18"/>
      <c r="X27" s="18"/>
      <c r="Y27" s="18" t="s">
        <v>862</v>
      </c>
      <c r="Z27" s="18"/>
      <c r="AA27" s="18"/>
      <c r="AB27" s="18"/>
      <c r="AC27" s="18"/>
      <c r="AD27" s="18"/>
      <c r="AE27" s="18"/>
      <c r="AF27" s="18"/>
      <c r="AG27" s="18"/>
      <c r="AH27" s="19" t="n">
        <f aca="false">COUNTA(C27:AG27)</f>
        <v>1</v>
      </c>
    </row>
    <row r="28" customFormat="false" ht="15" hidden="false" customHeight="false" outlineLevel="0" collapsed="false">
      <c r="A28" s="16" t="s">
        <v>814</v>
      </c>
      <c r="B28" s="17" t="s">
        <v>815</v>
      </c>
      <c r="C28" s="18"/>
      <c r="D28" s="18"/>
      <c r="E28" s="18"/>
      <c r="F28" s="18"/>
      <c r="G28" s="18" t="s">
        <v>863</v>
      </c>
      <c r="H28" s="18"/>
      <c r="I28" s="18"/>
      <c r="J28" s="18"/>
      <c r="K28" s="18"/>
      <c r="L28" s="18"/>
      <c r="M28" s="18"/>
      <c r="N28" s="18"/>
      <c r="O28" s="18"/>
      <c r="P28" s="18"/>
      <c r="Q28" s="18"/>
      <c r="R28" s="18" t="s">
        <v>863</v>
      </c>
      <c r="S28" s="18"/>
      <c r="T28" s="18"/>
      <c r="U28" s="18"/>
      <c r="V28" s="18"/>
      <c r="W28" s="18"/>
      <c r="X28" s="18"/>
      <c r="Y28" s="18"/>
      <c r="Z28" s="18"/>
      <c r="AA28" s="18"/>
      <c r="AB28" s="18"/>
      <c r="AC28" s="18"/>
      <c r="AD28" s="18"/>
      <c r="AE28" s="18" t="s">
        <v>862</v>
      </c>
      <c r="AF28" s="18"/>
      <c r="AG28" s="18"/>
      <c r="AH28" s="19" t="n">
        <f aca="false">COUNTA(C28:AG28)</f>
        <v>3</v>
      </c>
    </row>
    <row r="29" customFormat="false" ht="15" hidden="false" customHeight="false" outlineLevel="0" collapsed="false">
      <c r="A29" s="16" t="s">
        <v>822</v>
      </c>
      <c r="B29" s="17" t="s">
        <v>823</v>
      </c>
      <c r="C29" s="18"/>
      <c r="D29" s="18"/>
      <c r="E29" s="18"/>
      <c r="F29" s="18"/>
      <c r="G29" s="18"/>
      <c r="H29" s="18"/>
      <c r="I29" s="18"/>
      <c r="J29" s="18"/>
      <c r="K29" s="18"/>
      <c r="L29" s="18"/>
      <c r="M29" s="18"/>
      <c r="N29" s="18"/>
      <c r="O29" s="18"/>
      <c r="P29" s="18"/>
      <c r="Q29" s="18"/>
      <c r="R29" s="18"/>
      <c r="S29" s="18"/>
      <c r="T29" s="18"/>
      <c r="U29" s="18"/>
      <c r="V29" s="18"/>
      <c r="W29" s="18"/>
      <c r="X29" s="18"/>
      <c r="Y29" s="18"/>
      <c r="Z29" s="18"/>
      <c r="AA29" s="18"/>
      <c r="AB29" s="18"/>
      <c r="AC29" s="18"/>
      <c r="AD29" s="18" t="s">
        <v>862</v>
      </c>
      <c r="AE29" s="18"/>
      <c r="AF29" s="18"/>
      <c r="AG29" s="18"/>
      <c r="AH29" s="19" t="n">
        <f aca="false">COUNTA(C29:AG29)</f>
        <v>1</v>
      </c>
    </row>
    <row r="30" customFormat="false" ht="15" hidden="false" customHeight="false" outlineLevel="0" collapsed="false">
      <c r="A30" s="20"/>
      <c r="B30" s="21" t="s">
        <v>864</v>
      </c>
      <c r="C30" s="19" t="n">
        <f aca="false">COUNTA(C4:C29)</f>
        <v>2</v>
      </c>
      <c r="D30" s="19" t="n">
        <f aca="false">COUNTA(D4:D29)</f>
        <v>2</v>
      </c>
      <c r="E30" s="19" t="n">
        <f aca="false">COUNTA(E4:E29)</f>
        <v>1</v>
      </c>
      <c r="F30" s="19" t="n">
        <f aca="false">COUNTA(F4:F29)</f>
        <v>1</v>
      </c>
      <c r="G30" s="19" t="n">
        <f aca="false">COUNTA(G4:G29)</f>
        <v>1</v>
      </c>
      <c r="H30" s="19" t="n">
        <f aca="false">COUNTA(H4:H29)</f>
        <v>0</v>
      </c>
      <c r="I30" s="19" t="n">
        <f aca="false">COUNTA(I4:I29)</f>
        <v>0</v>
      </c>
      <c r="J30" s="19" t="n">
        <f aca="false">COUNTA(J4:J29)</f>
        <v>0</v>
      </c>
      <c r="K30" s="19" t="n">
        <f aca="false">COUNTA(K4:K29)</f>
        <v>0</v>
      </c>
      <c r="L30" s="19" t="n">
        <f aca="false">COUNTA(L4:L29)</f>
        <v>0</v>
      </c>
      <c r="M30" s="19" t="n">
        <f aca="false">COUNTA(M4:M29)</f>
        <v>1</v>
      </c>
      <c r="N30" s="19" t="n">
        <f aca="false">COUNTA(N4:N29)</f>
        <v>1</v>
      </c>
      <c r="O30" s="19" t="n">
        <f aca="false">COUNTA(O4:O29)</f>
        <v>0</v>
      </c>
      <c r="P30" s="19" t="n">
        <f aca="false">COUNTA(P4:P29)</f>
        <v>0</v>
      </c>
      <c r="Q30" s="19" t="n">
        <f aca="false">COUNTA(Q4:Q29)</f>
        <v>1</v>
      </c>
      <c r="R30" s="19" t="n">
        <f aca="false">COUNTA(R4:R29)</f>
        <v>1</v>
      </c>
      <c r="S30" s="19" t="n">
        <f aca="false">COUNTA(S4:S29)</f>
        <v>1</v>
      </c>
      <c r="T30" s="19" t="n">
        <f aca="false">COUNTA(T4:T29)</f>
        <v>1</v>
      </c>
      <c r="U30" s="19" t="n">
        <f aca="false">COUNTA(U4:U29)</f>
        <v>1</v>
      </c>
      <c r="V30" s="19" t="n">
        <f aca="false">COUNTA(V4:V29)</f>
        <v>8</v>
      </c>
      <c r="W30" s="19" t="n">
        <f aca="false">COUNTA(W4:W29)</f>
        <v>1</v>
      </c>
      <c r="X30" s="19" t="n">
        <f aca="false">COUNTA(X4:X29)</f>
        <v>2</v>
      </c>
      <c r="Y30" s="19" t="n">
        <f aca="false">COUNTA(Y4:Y29)</f>
        <v>5</v>
      </c>
      <c r="Z30" s="19" t="n">
        <f aca="false">COUNTA(Z4:Z29)</f>
        <v>4</v>
      </c>
      <c r="AA30" s="19" t="n">
        <f aca="false">COUNTA(AA4:AA29)</f>
        <v>1</v>
      </c>
      <c r="AB30" s="19" t="n">
        <f aca="false">COUNTA(AB4:AB29)</f>
        <v>1</v>
      </c>
      <c r="AC30" s="19" t="n">
        <f aca="false">COUNTA(AC4:AC29)</f>
        <v>2</v>
      </c>
      <c r="AD30" s="19" t="n">
        <f aca="false">COUNTA(AD4:AD29)</f>
        <v>5</v>
      </c>
      <c r="AE30" s="19" t="n">
        <f aca="false">COUNTA(AE4:AE29)</f>
        <v>3</v>
      </c>
      <c r="AF30" s="19" t="n">
        <f aca="false">COUNTA(AF4:AF29)</f>
        <v>1</v>
      </c>
      <c r="AG30" s="19" t="n">
        <f aca="false">COUNTA(AG4:AG29)</f>
        <v>1</v>
      </c>
      <c r="AH30" s="19"/>
    </row>
    <row r="31" customFormat="false" ht="15" hidden="false" customHeight="false" outlineLevel="0" collapsed="false">
      <c r="A31" s="20"/>
      <c r="B31" s="21" t="s">
        <v>865</v>
      </c>
      <c r="C31" s="19" t="n">
        <f aca="false">COUNTIF(C4:C29,"D")</f>
        <v>1</v>
      </c>
      <c r="D31" s="19" t="n">
        <f aca="false">COUNTIF(D4:D29,"D")</f>
        <v>0</v>
      </c>
      <c r="E31" s="19" t="n">
        <f aca="false">COUNTIF(E4:E29,"D")</f>
        <v>0</v>
      </c>
      <c r="F31" s="19" t="n">
        <f aca="false">COUNTIF(F4:F29,"D")</f>
        <v>1</v>
      </c>
      <c r="G31" s="19" t="n">
        <f aca="false">COUNTIF(G4:G29,"D")</f>
        <v>0</v>
      </c>
      <c r="H31" s="19" t="n">
        <f aca="false">COUNTIF(H4:H29,"D")</f>
        <v>0</v>
      </c>
      <c r="I31" s="19" t="n">
        <f aca="false">COUNTIF(I4:I29,"D")</f>
        <v>0</v>
      </c>
      <c r="J31" s="19" t="n">
        <f aca="false">COUNTIF(J4:J29,"D")</f>
        <v>0</v>
      </c>
      <c r="K31" s="19" t="n">
        <f aca="false">COUNTIF(K4:K29,"D")</f>
        <v>0</v>
      </c>
      <c r="L31" s="19" t="n">
        <f aca="false">COUNTIF(L4:L29,"D")</f>
        <v>0</v>
      </c>
      <c r="M31" s="19" t="n">
        <f aca="false">COUNTIF(M4:M29,"D")</f>
        <v>0</v>
      </c>
      <c r="N31" s="19" t="n">
        <f aca="false">COUNTIF(N4:N29,"D")</f>
        <v>1</v>
      </c>
      <c r="O31" s="19" t="n">
        <f aca="false">COUNTIF(O4:O29,"D")</f>
        <v>0</v>
      </c>
      <c r="P31" s="19" t="n">
        <f aca="false">COUNTIF(P4:P29,"D")</f>
        <v>0</v>
      </c>
      <c r="Q31" s="19" t="n">
        <f aca="false">COUNTIF(Q4:Q29,"D")</f>
        <v>1</v>
      </c>
      <c r="R31" s="19" t="n">
        <f aca="false">COUNTIF(R4:R29,"D")</f>
        <v>0</v>
      </c>
      <c r="S31" s="19" t="n">
        <f aca="false">COUNTIF(S4:S29,"D")</f>
        <v>0</v>
      </c>
      <c r="T31" s="19" t="n">
        <f aca="false">COUNTIF(T4:T29,"D")</f>
        <v>1</v>
      </c>
      <c r="U31" s="19" t="n">
        <f aca="false">COUNTIF(U4:U29,"D")</f>
        <v>0</v>
      </c>
      <c r="V31" s="19" t="n">
        <f aca="false">COUNTIF(V4:V29,"D")</f>
        <v>6</v>
      </c>
      <c r="W31" s="19" t="n">
        <f aca="false">COUNTIF(W4:W29,"D")</f>
        <v>1</v>
      </c>
      <c r="X31" s="19" t="n">
        <f aca="false">COUNTIF(X4:X29,"D")</f>
        <v>1</v>
      </c>
      <c r="Y31" s="19" t="n">
        <f aca="false">COUNTIF(Y4:Y29,"D")</f>
        <v>3</v>
      </c>
      <c r="Z31" s="19" t="n">
        <f aca="false">COUNTIF(Z4:Z29,"D")</f>
        <v>0</v>
      </c>
      <c r="AA31" s="19" t="n">
        <f aca="false">COUNTIF(AA4:AA29,"D")</f>
        <v>1</v>
      </c>
      <c r="AB31" s="19" t="n">
        <f aca="false">COUNTIF(AB4:AB29,"D")</f>
        <v>1</v>
      </c>
      <c r="AC31" s="19" t="n">
        <f aca="false">COUNTIF(AC4:AC29,"D")</f>
        <v>1</v>
      </c>
      <c r="AD31" s="19" t="n">
        <f aca="false">COUNTIF(AD4:AD29,"D")</f>
        <v>3</v>
      </c>
      <c r="AE31" s="19" t="n">
        <f aca="false">COUNTIF(AE4:AE29,"D")</f>
        <v>2</v>
      </c>
      <c r="AF31" s="19" t="n">
        <f aca="false">COUNTIF(AF4:AF29,"D")</f>
        <v>1</v>
      </c>
      <c r="AG31" s="19" t="n">
        <f aca="false">COUNTIF(AG4:AG29,"D")</f>
        <v>1</v>
      </c>
      <c r="AH31" s="19"/>
    </row>
    <row r="33" customFormat="false" ht="15" hidden="false" customHeight="false" outlineLevel="0" collapsed="false">
      <c r="A33" s="22" t="s">
        <v>862</v>
      </c>
      <c r="B33" s="23" t="s">
        <v>866</v>
      </c>
      <c r="C33" s="23"/>
      <c r="D33" s="23"/>
      <c r="E33" s="23"/>
      <c r="F33" s="23"/>
      <c r="G33" s="23"/>
      <c r="H33" s="23"/>
      <c r="I33" s="23"/>
      <c r="J33" s="23"/>
      <c r="K33" s="23"/>
      <c r="L33" s="23"/>
      <c r="M33" s="23"/>
      <c r="N33" s="23"/>
      <c r="O33" s="23"/>
      <c r="P33" s="23"/>
      <c r="Q33" s="23"/>
      <c r="R33" s="23"/>
      <c r="S33" s="23"/>
      <c r="T33" s="23"/>
      <c r="U33" s="23"/>
      <c r="V33" s="23"/>
      <c r="W33" s="23"/>
      <c r="X33" s="23"/>
      <c r="Y33" s="23"/>
      <c r="Z33" s="23"/>
      <c r="AA33" s="23"/>
      <c r="AB33" s="23"/>
      <c r="AC33" s="23"/>
      <c r="AD33" s="23"/>
    </row>
    <row r="34" customFormat="false" ht="15" hidden="false" customHeight="false" outlineLevel="0" collapsed="false">
      <c r="A34" s="22" t="s">
        <v>863</v>
      </c>
      <c r="B34" s="23" t="s">
        <v>867</v>
      </c>
      <c r="C34" s="23"/>
      <c r="D34" s="23"/>
      <c r="E34" s="23"/>
      <c r="F34" s="23"/>
      <c r="G34" s="23"/>
      <c r="H34" s="23"/>
      <c r="I34" s="23"/>
      <c r="J34" s="23"/>
      <c r="K34" s="23"/>
      <c r="L34" s="23"/>
      <c r="M34" s="23"/>
      <c r="N34" s="23"/>
      <c r="O34" s="23"/>
      <c r="P34" s="23"/>
      <c r="Q34" s="23"/>
      <c r="R34" s="23"/>
      <c r="S34" s="23"/>
      <c r="T34" s="23"/>
      <c r="U34" s="23"/>
      <c r="V34" s="23"/>
      <c r="W34" s="23"/>
      <c r="X34" s="23"/>
      <c r="Y34" s="23"/>
      <c r="Z34" s="23"/>
      <c r="AA34" s="23"/>
      <c r="AB34" s="23"/>
      <c r="AC34" s="23"/>
      <c r="AD34" s="23"/>
    </row>
    <row r="35" customFormat="false" ht="15" hidden="false" customHeight="false" outlineLevel="0" collapsed="false">
      <c r="A35" s="22" t="s">
        <v>868</v>
      </c>
      <c r="B35" s="23" t="s">
        <v>869</v>
      </c>
      <c r="C35" s="23"/>
      <c r="D35" s="23"/>
      <c r="E35" s="23"/>
      <c r="F35" s="23"/>
      <c r="G35" s="23"/>
      <c r="H35" s="23"/>
      <c r="I35" s="23"/>
      <c r="J35" s="23"/>
      <c r="K35" s="23"/>
      <c r="L35" s="23"/>
      <c r="M35" s="23"/>
      <c r="N35" s="23"/>
      <c r="O35" s="23"/>
      <c r="P35" s="23"/>
      <c r="Q35" s="23"/>
      <c r="R35" s="23"/>
      <c r="S35" s="23"/>
      <c r="T35" s="23"/>
      <c r="U35" s="23"/>
      <c r="V35" s="23"/>
      <c r="W35" s="23"/>
      <c r="X35" s="23"/>
      <c r="Y35" s="23"/>
      <c r="Z35" s="23"/>
      <c r="AA35" s="23"/>
      <c r="AB35" s="23"/>
      <c r="AC35" s="23"/>
      <c r="AD35" s="23"/>
    </row>
    <row r="36" customFormat="false" ht="15" hidden="false" customHeight="false" outlineLevel="0" collapsed="false">
      <c r="A36" s="22" t="s">
        <v>870</v>
      </c>
      <c r="B36" s="23" t="s">
        <v>871</v>
      </c>
      <c r="C36" s="23"/>
      <c r="D36" s="23"/>
      <c r="E36" s="23"/>
      <c r="F36" s="23"/>
      <c r="G36" s="23"/>
      <c r="H36" s="23"/>
      <c r="I36" s="23"/>
      <c r="J36" s="23"/>
      <c r="K36" s="23"/>
      <c r="L36" s="23"/>
      <c r="M36" s="23"/>
      <c r="N36" s="23"/>
      <c r="O36" s="23"/>
      <c r="P36" s="23"/>
      <c r="Q36" s="23"/>
      <c r="R36" s="23"/>
      <c r="S36" s="23"/>
      <c r="T36" s="23"/>
      <c r="U36" s="23"/>
      <c r="V36" s="23"/>
      <c r="W36" s="23"/>
      <c r="X36" s="23"/>
      <c r="Y36" s="23"/>
      <c r="Z36" s="23"/>
      <c r="AA36" s="23"/>
      <c r="AB36" s="23"/>
      <c r="AC36" s="23"/>
      <c r="AD36" s="23"/>
    </row>
  </sheetData>
  <mergeCells count="4">
    <mergeCell ref="B33:AD33"/>
    <mergeCell ref="B34:AD34"/>
    <mergeCell ref="B35:AD35"/>
    <mergeCell ref="B36:AD36"/>
  </mergeCells>
  <conditionalFormatting sqref="C4:AG29">
    <cfRule type="cellIs" priority="2" operator="equal" aboveAverage="0" equalAverage="0" bottom="0" percent="0" rank="0" text="" dxfId="7">
      <formula>"D"</formula>
    </cfRule>
    <cfRule type="cellIs" priority="3" operator="equal" aboveAverage="0" equalAverage="0" bottom="0" percent="0" rank="0" text="" dxfId="8">
      <formula>"E"</formula>
    </cfRule>
  </conditionalFormatting>
  <conditionalFormatting sqref="C30:AG30">
    <cfRule type="cellIs" priority="4" operator="equal" aboveAverage="0" equalAverage="0" bottom="0" percent="0" rank="0" text="" dxfId="9">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8"/>
    <col collapsed="false" customWidth="true" hidden="false" outlineLevel="0" max="3" min="3" style="0" width="12"/>
    <col collapsed="false" customWidth="true" hidden="false" outlineLevel="0" max="4" min="4" style="0" width="34"/>
    <col collapsed="false" customWidth="true" hidden="false" outlineLevel="0" max="5" min="5" style="0" width="11"/>
    <col collapsed="false" customWidth="true" hidden="false" outlineLevel="0" max="7" min="6" style="0" width="32"/>
    <col collapsed="false" customWidth="true" hidden="false" outlineLevel="0" max="8" min="8" style="0" width="28"/>
    <col collapsed="false" customWidth="true" hidden="false" outlineLevel="0" max="9" min="9" style="0" width="30"/>
    <col collapsed="false" customWidth="true" hidden="false" outlineLevel="0" max="10" min="10" style="0" width="32"/>
    <col collapsed="false" customWidth="true" hidden="false" outlineLevel="0" max="11" min="11" style="0" width="38"/>
    <col collapsed="false" customWidth="true" hidden="false" outlineLevel="0" max="12" min="12" style="0" width="30"/>
    <col collapsed="false" customWidth="true" hidden="false" outlineLevel="0" max="13" min="13" style="0" width="12"/>
  </cols>
  <sheetData>
    <row r="1" customFormat="false" ht="30" hidden="false" customHeight="true" outlineLevel="0" collapsed="false">
      <c r="A1" s="6" t="s">
        <v>872</v>
      </c>
      <c r="B1" s="6" t="s">
        <v>37</v>
      </c>
      <c r="C1" s="6" t="s">
        <v>873</v>
      </c>
      <c r="D1" s="6" t="s">
        <v>874</v>
      </c>
      <c r="E1" s="6" t="s">
        <v>54</v>
      </c>
      <c r="F1" s="6" t="s">
        <v>875</v>
      </c>
      <c r="G1" s="6" t="s">
        <v>876</v>
      </c>
      <c r="H1" s="6" t="s">
        <v>877</v>
      </c>
      <c r="I1" s="6" t="s">
        <v>878</v>
      </c>
      <c r="J1" s="6" t="s">
        <v>879</v>
      </c>
      <c r="K1" s="6" t="s">
        <v>880</v>
      </c>
      <c r="L1" s="6" t="s">
        <v>635</v>
      </c>
      <c r="M1" s="6" t="s">
        <v>660</v>
      </c>
    </row>
    <row r="2" customFormat="false" ht="35.05" hidden="false" customHeight="false" outlineLevel="0" collapsed="false">
      <c r="A2" s="5" t="s">
        <v>314</v>
      </c>
      <c r="B2" s="5" t="str">
        <f aca="false">IFERROR(TRIM(INDEX(Process!$D$2:$D$230,MATCH(A2,Process!$A$2:$A$230,0))),"not found")</f>
        <v>Develop sales forecast</v>
      </c>
      <c r="C2" s="5" t="s">
        <v>317</v>
      </c>
      <c r="D2" s="4" t="str">
        <f aca="false">IFERROR(TRIM(INDEX(Process!$D$2:$D$230,MATCH(C2,Process!$A$2:$A$230,0))),"not found")</f>
        <v>Gather current and historic order information</v>
      </c>
      <c r="E2" s="5"/>
      <c r="F2" s="5" t="s">
        <v>881</v>
      </c>
      <c r="G2" s="5" t="s">
        <v>882</v>
      </c>
      <c r="H2" s="5" t="s">
        <v>732</v>
      </c>
      <c r="I2" s="5" t="s">
        <v>883</v>
      </c>
      <c r="J2" s="5" t="s">
        <v>884</v>
      </c>
      <c r="K2" s="5" t="s">
        <v>885</v>
      </c>
      <c r="L2" s="5" t="s">
        <v>649</v>
      </c>
      <c r="M2" s="5"/>
    </row>
    <row r="3" customFormat="false" ht="23.85" hidden="false" customHeight="false" outlineLevel="0" collapsed="false">
      <c r="A3" s="5" t="s">
        <v>314</v>
      </c>
      <c r="B3" s="5" t="str">
        <f aca="false">IFERROR(TRIM(INDEX(Process!$D$2:$D$230,MATCH(A3,Process!$A$2:$A$230,0))),"not found")</f>
        <v>Develop sales forecast</v>
      </c>
      <c r="C3" s="5" t="s">
        <v>320</v>
      </c>
      <c r="D3" s="4" t="str">
        <f aca="false">IFERROR(TRIM(INDEX(Process!$D$2:$D$230,MATCH(C3,Process!$A$2:$A$230,0))),"not found")</f>
        <v>Analyze sales trends and patterns</v>
      </c>
      <c r="E3" s="5"/>
      <c r="F3" s="5" t="s">
        <v>886</v>
      </c>
      <c r="G3" s="5" t="s">
        <v>883</v>
      </c>
      <c r="H3" s="5" t="s">
        <v>887</v>
      </c>
      <c r="I3" s="5" t="s">
        <v>888</v>
      </c>
      <c r="J3" s="5" t="s">
        <v>889</v>
      </c>
      <c r="K3" s="5" t="s">
        <v>890</v>
      </c>
      <c r="L3" s="5" t="s">
        <v>891</v>
      </c>
      <c r="M3" s="5"/>
    </row>
    <row r="4" customFormat="false" ht="23.85" hidden="false" customHeight="false" outlineLevel="0" collapsed="false">
      <c r="A4" s="5" t="s">
        <v>314</v>
      </c>
      <c r="B4" s="5" t="str">
        <f aca="false">IFERROR(TRIM(INDEX(Process!$D$2:$D$230,MATCH(A4,Process!$A$2:$A$230,0))),"not found")</f>
        <v>Develop sales forecast</v>
      </c>
      <c r="C4" s="5" t="s">
        <v>322</v>
      </c>
      <c r="D4" s="4" t="str">
        <f aca="false">IFERROR(TRIM(INDEX(Process!$D$2:$D$230,MATCH(C4,Process!$A$2:$A$230,0))),"not found")</f>
        <v>Generate sales forecast</v>
      </c>
      <c r="E4" s="5"/>
      <c r="F4" s="5" t="s">
        <v>892</v>
      </c>
      <c r="G4" s="5" t="s">
        <v>893</v>
      </c>
      <c r="H4" s="5" t="s">
        <v>716</v>
      </c>
      <c r="I4" s="5" t="s">
        <v>894</v>
      </c>
      <c r="J4" s="5" t="s">
        <v>895</v>
      </c>
      <c r="K4" s="5" t="s">
        <v>896</v>
      </c>
      <c r="L4" s="5" t="s">
        <v>891</v>
      </c>
      <c r="M4" s="5"/>
    </row>
    <row r="5" customFormat="false" ht="23.85" hidden="false" customHeight="false" outlineLevel="0" collapsed="false">
      <c r="A5" s="5" t="s">
        <v>358</v>
      </c>
      <c r="B5" s="5" t="str">
        <f aca="false">IFERROR(TRIM(INDEX(Process!$D$2:$D$230,MATCH(A5,Process!$A$2:$A$230,0))),"not found")</f>
        <v>Establish overall sales budgets</v>
      </c>
      <c r="C5" s="5" t="s">
        <v>373</v>
      </c>
      <c r="D5" s="4" t="str">
        <f aca="false">IFERROR(TRIM(INDEX(Process!$D$2:$D$230,MATCH(C5,Process!$A$2:$A$230,0))),"not found")</f>
        <v>Create budget</v>
      </c>
      <c r="E5" s="5"/>
      <c r="F5" s="5" t="s">
        <v>897</v>
      </c>
      <c r="G5" s="5" t="s">
        <v>898</v>
      </c>
      <c r="H5" s="5" t="s">
        <v>899</v>
      </c>
      <c r="I5" s="5" t="s">
        <v>900</v>
      </c>
      <c r="J5" s="5" t="s">
        <v>901</v>
      </c>
      <c r="K5" s="5" t="s">
        <v>902</v>
      </c>
      <c r="L5" s="5" t="s">
        <v>903</v>
      </c>
      <c r="M5" s="5"/>
    </row>
    <row r="6" customFormat="false" ht="23.85" hidden="false" customHeight="false" outlineLevel="0" collapsed="false">
      <c r="A6" s="5" t="s">
        <v>375</v>
      </c>
      <c r="B6" s="5" t="str">
        <f aca="false">IFERROR(TRIM(INDEX(Process!$D$2:$D$230,MATCH(A6,Process!$A$2:$A$230,0))),"not found")</f>
        <v>Establish sales goals and measures</v>
      </c>
      <c r="C6" s="5" t="s">
        <v>375</v>
      </c>
      <c r="D6" s="4" t="str">
        <f aca="false">IFERROR(TRIM(INDEX(Process!$D$2:$D$230,MATCH(C6,Process!$A$2:$A$230,0))),"not found")</f>
        <v>Establish sales goals and measures</v>
      </c>
      <c r="E6" s="5"/>
      <c r="F6" s="5" t="s">
        <v>904</v>
      </c>
      <c r="G6" s="5" t="s">
        <v>905</v>
      </c>
      <c r="H6" s="5" t="s">
        <v>906</v>
      </c>
      <c r="I6" s="5" t="s">
        <v>907</v>
      </c>
      <c r="J6" s="5" t="s">
        <v>908</v>
      </c>
      <c r="K6" s="5" t="s">
        <v>909</v>
      </c>
      <c r="L6" s="5" t="s">
        <v>725</v>
      </c>
      <c r="M6" s="5"/>
    </row>
    <row r="7" customFormat="false" ht="23.85" hidden="false" customHeight="false" outlineLevel="0" collapsed="false">
      <c r="A7" s="5" t="s">
        <v>377</v>
      </c>
      <c r="B7" s="5" t="str">
        <f aca="false">IFERROR(TRIM(INDEX(Process!$D$2:$D$230,MATCH(A7,Process!$A$2:$A$230,0))),"not found")</f>
        <v>Establish customer management measures</v>
      </c>
      <c r="C7" s="5" t="s">
        <v>377</v>
      </c>
      <c r="D7" s="4" t="str">
        <f aca="false">IFERROR(TRIM(INDEX(Process!$D$2:$D$230,MATCH(C7,Process!$A$2:$A$230,0))),"not found")</f>
        <v>Establish customer management measures</v>
      </c>
      <c r="E7" s="5"/>
      <c r="F7" s="5" t="s">
        <v>910</v>
      </c>
      <c r="G7" s="5" t="s">
        <v>911</v>
      </c>
      <c r="H7" s="5" t="s">
        <v>912</v>
      </c>
      <c r="I7" s="5" t="s">
        <v>913</v>
      </c>
      <c r="J7" s="5" t="s">
        <v>914</v>
      </c>
      <c r="K7" s="5" t="s">
        <v>915</v>
      </c>
      <c r="L7" s="5" t="s">
        <v>649</v>
      </c>
      <c r="M7" s="5"/>
    </row>
    <row r="8" customFormat="false" ht="35.05" hidden="false" customHeight="false" outlineLevel="0" collapsed="false">
      <c r="A8" s="5" t="s">
        <v>381</v>
      </c>
      <c r="B8" s="5" t="str">
        <f aca="false">IFERROR(TRIM(INDEX(Process!$D$2:$D$230,MATCH(A8,Process!$A$2:$A$230,0))),"not found")</f>
        <v>Manage leads/opportunities</v>
      </c>
      <c r="C8" s="5" t="s">
        <v>383</v>
      </c>
      <c r="D8" s="4" t="str">
        <f aca="false">IFERROR(TRIM(INDEX(Process!$D$2:$D$230,MATCH(C8,Process!$A$2:$A$230,0))),"not found")</f>
        <v>Identify potential customers</v>
      </c>
      <c r="E8" s="5" t="s">
        <v>272</v>
      </c>
      <c r="F8" s="5" t="s">
        <v>916</v>
      </c>
      <c r="G8" s="5" t="s">
        <v>917</v>
      </c>
      <c r="H8" s="5" t="s">
        <v>657</v>
      </c>
      <c r="I8" s="5" t="s">
        <v>918</v>
      </c>
      <c r="J8" s="5" t="s">
        <v>919</v>
      </c>
      <c r="K8" s="5" t="s">
        <v>920</v>
      </c>
      <c r="L8" s="5" t="s">
        <v>921</v>
      </c>
      <c r="M8" s="5"/>
    </row>
    <row r="9" customFormat="false" ht="35.05" hidden="false" customHeight="false" outlineLevel="0" collapsed="false">
      <c r="A9" s="5" t="s">
        <v>381</v>
      </c>
      <c r="B9" s="5" t="str">
        <f aca="false">IFERROR(TRIM(INDEX(Process!$D$2:$D$230,MATCH(A9,Process!$A$2:$A$230,0))),"not found")</f>
        <v>Manage leads/opportunities</v>
      </c>
      <c r="C9" s="5" t="s">
        <v>385</v>
      </c>
      <c r="D9" s="4" t="str">
        <f aca="false">IFERROR(TRIM(INDEX(Process!$D$2:$D$230,MATCH(C9,Process!$A$2:$A$230,0))),"not found")</f>
        <v>Identify/receive leads/opportunities</v>
      </c>
      <c r="E9" s="5" t="s">
        <v>272</v>
      </c>
      <c r="F9" s="5" t="s">
        <v>922</v>
      </c>
      <c r="G9" s="5" t="s">
        <v>923</v>
      </c>
      <c r="H9" s="5" t="s">
        <v>709</v>
      </c>
      <c r="I9" s="5" t="s">
        <v>924</v>
      </c>
      <c r="J9" s="5" t="s">
        <v>925</v>
      </c>
      <c r="K9" s="5" t="s">
        <v>926</v>
      </c>
      <c r="L9" s="5" t="s">
        <v>927</v>
      </c>
      <c r="M9" s="5"/>
    </row>
    <row r="10" customFormat="false" ht="23.85" hidden="false" customHeight="false" outlineLevel="0" collapsed="false">
      <c r="A10" s="5" t="s">
        <v>381</v>
      </c>
      <c r="B10" s="5" t="str">
        <f aca="false">IFERROR(TRIM(INDEX(Process!$D$2:$D$230,MATCH(A10,Process!$A$2:$A$230,0))),"not found")</f>
        <v>Manage leads/opportunities</v>
      </c>
      <c r="C10" s="5" t="s">
        <v>387</v>
      </c>
      <c r="D10" s="4" t="str">
        <f aca="false">IFERROR(TRIM(INDEX(Process!$D$2:$D$230,MATCH(C10,Process!$A$2:$A$230,0))),"not found")</f>
        <v>Validate and qualify leads/opportunities</v>
      </c>
      <c r="E10" s="5" t="s">
        <v>389</v>
      </c>
      <c r="F10" s="5" t="s">
        <v>928</v>
      </c>
      <c r="G10" s="5" t="s">
        <v>929</v>
      </c>
      <c r="H10" s="5" t="s">
        <v>930</v>
      </c>
      <c r="I10" s="5" t="s">
        <v>931</v>
      </c>
      <c r="J10" s="5" t="s">
        <v>932</v>
      </c>
      <c r="K10" s="5" t="s">
        <v>933</v>
      </c>
      <c r="L10" s="5" t="s">
        <v>934</v>
      </c>
      <c r="M10" s="5"/>
    </row>
    <row r="11" customFormat="false" ht="23.85" hidden="false" customHeight="false" outlineLevel="0" collapsed="false">
      <c r="A11" s="5" t="s">
        <v>381</v>
      </c>
      <c r="B11" s="5" t="str">
        <f aca="false">IFERROR(TRIM(INDEX(Process!$D$2:$D$230,MATCH(A11,Process!$A$2:$A$230,0))),"not found")</f>
        <v>Manage leads/opportunities</v>
      </c>
      <c r="C11" s="5" t="s">
        <v>390</v>
      </c>
      <c r="D11" s="4" t="str">
        <f aca="false">IFERROR(TRIM(INDEX(Process!$D$2:$D$230,MATCH(C11,Process!$A$2:$A$230,0))),"not found")</f>
        <v>Review employer liabilities</v>
      </c>
      <c r="E11" s="5" t="s">
        <v>389</v>
      </c>
      <c r="F11" s="5" t="s">
        <v>935</v>
      </c>
      <c r="G11" s="5" t="s">
        <v>936</v>
      </c>
      <c r="H11" s="5" t="s">
        <v>657</v>
      </c>
      <c r="I11" s="5" t="s">
        <v>937</v>
      </c>
      <c r="J11" s="5" t="s">
        <v>938</v>
      </c>
      <c r="K11" s="5" t="s">
        <v>939</v>
      </c>
      <c r="L11" s="5" t="s">
        <v>940</v>
      </c>
      <c r="M11" s="5"/>
    </row>
    <row r="12" customFormat="false" ht="23.85" hidden="false" customHeight="false" outlineLevel="0" collapsed="false">
      <c r="A12" s="5" t="s">
        <v>381</v>
      </c>
      <c r="B12" s="5" t="str">
        <f aca="false">IFERROR(TRIM(INDEX(Process!$D$2:$D$230,MATCH(A12,Process!$A$2:$A$230,0))),"not found")</f>
        <v>Manage leads/opportunities</v>
      </c>
      <c r="C12" s="5" t="s">
        <v>393</v>
      </c>
      <c r="D12" s="4" t="str">
        <f aca="false">IFERROR(TRIM(INDEX(Process!$D$2:$D$230,MATCH(C12,Process!$A$2:$A$230,0))),"not found")</f>
        <v>Match opportunities to business strategy</v>
      </c>
      <c r="E12" s="5" t="s">
        <v>389</v>
      </c>
      <c r="F12" s="5" t="s">
        <v>941</v>
      </c>
      <c r="G12" s="5" t="s">
        <v>942</v>
      </c>
      <c r="H12" s="5" t="s">
        <v>943</v>
      </c>
      <c r="I12" s="5" t="s">
        <v>944</v>
      </c>
      <c r="J12" s="5" t="s">
        <v>648</v>
      </c>
      <c r="K12" s="5" t="s">
        <v>945</v>
      </c>
      <c r="L12" s="5" t="s">
        <v>649</v>
      </c>
      <c r="M12" s="5"/>
    </row>
    <row r="13" customFormat="false" ht="35.05" hidden="false" customHeight="false" outlineLevel="0" collapsed="false">
      <c r="A13" s="5" t="s">
        <v>381</v>
      </c>
      <c r="B13" s="5" t="str">
        <f aca="false">IFERROR(TRIM(INDEX(Process!$D$2:$D$230,MATCH(A13,Process!$A$2:$A$230,0))),"not found")</f>
        <v>Manage leads/opportunities</v>
      </c>
      <c r="C13" s="5" t="s">
        <v>395</v>
      </c>
      <c r="D13" s="4" t="str">
        <f aca="false">IFERROR(TRIM(INDEX(Process!$D$2:$D$230,MATCH(C13,Process!$A$2:$A$230,0))),"not found")</f>
        <v>Develop opportunity win plans</v>
      </c>
      <c r="E13" s="5" t="s">
        <v>397</v>
      </c>
      <c r="F13" s="5" t="s">
        <v>946</v>
      </c>
      <c r="G13" s="5" t="s">
        <v>947</v>
      </c>
      <c r="H13" s="5" t="s">
        <v>657</v>
      </c>
      <c r="I13" s="5" t="s">
        <v>948</v>
      </c>
      <c r="J13" s="5" t="s">
        <v>949</v>
      </c>
      <c r="K13" s="5" t="s">
        <v>950</v>
      </c>
      <c r="L13" s="5" t="s">
        <v>940</v>
      </c>
      <c r="M13" s="5"/>
    </row>
    <row r="14" customFormat="false" ht="23.85" hidden="false" customHeight="false" outlineLevel="0" collapsed="false">
      <c r="A14" s="5" t="s">
        <v>381</v>
      </c>
      <c r="B14" s="5" t="str">
        <f aca="false">IFERROR(TRIM(INDEX(Process!$D$2:$D$230,MATCH(A14,Process!$A$2:$A$230,0))),"not found")</f>
        <v>Manage leads/opportunities</v>
      </c>
      <c r="C14" s="5" t="s">
        <v>398</v>
      </c>
      <c r="D14" s="4" t="str">
        <f aca="false">IFERROR(TRIM(INDEX(Process!$D$2:$D$230,MATCH(C14,Process!$A$2:$A$230,0))),"not found")</f>
        <v>Manage opportunity pipeline</v>
      </c>
      <c r="E14" s="5" t="s">
        <v>400</v>
      </c>
      <c r="F14" s="5" t="s">
        <v>951</v>
      </c>
      <c r="G14" s="5" t="s">
        <v>952</v>
      </c>
      <c r="H14" s="5" t="s">
        <v>943</v>
      </c>
      <c r="I14" s="5" t="s">
        <v>953</v>
      </c>
      <c r="J14" s="5" t="s">
        <v>954</v>
      </c>
      <c r="K14" s="5" t="s">
        <v>955</v>
      </c>
      <c r="L14" s="5" t="s">
        <v>649</v>
      </c>
      <c r="M14" s="5"/>
    </row>
    <row r="15" customFormat="false" ht="23.85" hidden="false" customHeight="false" outlineLevel="0" collapsed="false">
      <c r="A15" s="5" t="s">
        <v>381</v>
      </c>
      <c r="B15" s="5" t="str">
        <f aca="false">IFERROR(TRIM(INDEX(Process!$D$2:$D$230,MATCH(A15,Process!$A$2:$A$230,0))),"not found")</f>
        <v>Manage leads/opportunities</v>
      </c>
      <c r="C15" s="5" t="s">
        <v>401</v>
      </c>
      <c r="D15" s="4" t="str">
        <f aca="false">IFERROR(TRIM(INDEX(Process!$D$2:$D$230,MATCH(C15,Process!$A$2:$A$230,0))),"not found")</f>
        <v>Determine sales resource allocation</v>
      </c>
      <c r="E15" s="5" t="s">
        <v>389</v>
      </c>
      <c r="F15" s="5" t="s">
        <v>956</v>
      </c>
      <c r="G15" s="5" t="s">
        <v>957</v>
      </c>
      <c r="H15" s="5" t="s">
        <v>943</v>
      </c>
      <c r="I15" s="5" t="s">
        <v>958</v>
      </c>
      <c r="J15" s="5" t="s">
        <v>959</v>
      </c>
      <c r="K15" s="5" t="s">
        <v>960</v>
      </c>
      <c r="L15" s="5" t="s">
        <v>649</v>
      </c>
      <c r="M15" s="5"/>
    </row>
    <row r="16" customFormat="false" ht="23.85" hidden="false" customHeight="false" outlineLevel="0" collapsed="false">
      <c r="A16" s="5" t="s">
        <v>381</v>
      </c>
      <c r="B16" s="5" t="str">
        <f aca="false">IFERROR(TRIM(INDEX(Process!$D$2:$D$230,MATCH(A16,Process!$A$2:$A$230,0))),"not found")</f>
        <v>Manage leads/opportunities</v>
      </c>
      <c r="C16" s="5" t="s">
        <v>406</v>
      </c>
      <c r="D16" s="4" t="str">
        <f aca="false">IFERROR(TRIM(INDEX(Process!$D$2:$D$230,MATCH(C16,Process!$A$2:$A$230,0))),"not found")</f>
        <v>Perform sales calls</v>
      </c>
      <c r="E16" s="5" t="s">
        <v>272</v>
      </c>
      <c r="F16" s="5" t="s">
        <v>961</v>
      </c>
      <c r="G16" s="5" t="s">
        <v>962</v>
      </c>
      <c r="H16" s="5" t="s">
        <v>648</v>
      </c>
      <c r="I16" s="5" t="s">
        <v>963</v>
      </c>
      <c r="J16" s="5" t="s">
        <v>964</v>
      </c>
      <c r="K16" s="5" t="s">
        <v>965</v>
      </c>
      <c r="L16" s="5" t="s">
        <v>966</v>
      </c>
      <c r="M16" s="5"/>
    </row>
    <row r="17" customFormat="false" ht="23.85" hidden="false" customHeight="false" outlineLevel="0" collapsed="false">
      <c r="A17" s="5" t="s">
        <v>381</v>
      </c>
      <c r="B17" s="5" t="str">
        <f aca="false">IFERROR(TRIM(INDEX(Process!$D$2:$D$230,MATCH(A17,Process!$A$2:$A$230,0))),"not found")</f>
        <v>Manage leads/opportunities</v>
      </c>
      <c r="C17" s="5" t="s">
        <v>408</v>
      </c>
      <c r="D17" s="4" t="str">
        <f aca="false">IFERROR(TRIM(INDEX(Process!$D$2:$D$230,MATCH(C17,Process!$A$2:$A$230,0))),"not found")</f>
        <v>Perform pre-sales activities</v>
      </c>
      <c r="E17" s="5" t="s">
        <v>397</v>
      </c>
      <c r="F17" s="5" t="s">
        <v>967</v>
      </c>
      <c r="G17" s="5" t="s">
        <v>968</v>
      </c>
      <c r="H17" s="5" t="s">
        <v>672</v>
      </c>
      <c r="I17" s="5" t="s">
        <v>969</v>
      </c>
      <c r="J17" s="5" t="s">
        <v>964</v>
      </c>
      <c r="K17" s="5" t="s">
        <v>970</v>
      </c>
      <c r="L17" s="5" t="s">
        <v>673</v>
      </c>
      <c r="M17" s="5"/>
    </row>
    <row r="18" customFormat="false" ht="23.85" hidden="false" customHeight="false" outlineLevel="0" collapsed="false">
      <c r="A18" s="5" t="s">
        <v>381</v>
      </c>
      <c r="B18" s="5" t="str">
        <f aca="false">IFERROR(TRIM(INDEX(Process!$D$2:$D$230,MATCH(A18,Process!$A$2:$A$230,0))),"not found")</f>
        <v>Manage leads/opportunities</v>
      </c>
      <c r="C18" s="5" t="s">
        <v>411</v>
      </c>
      <c r="D18" s="4" t="str">
        <f aca="false">IFERROR(TRIM(INDEX(Process!$D$2:$D$230,MATCH(C18,Process!$A$2:$A$230,0))),"not found")</f>
        <v>Manage customer meetings/workshops</v>
      </c>
      <c r="E18" s="5" t="s">
        <v>272</v>
      </c>
      <c r="F18" s="5" t="s">
        <v>964</v>
      </c>
      <c r="G18" s="5" t="s">
        <v>971</v>
      </c>
      <c r="H18" s="5" t="s">
        <v>648</v>
      </c>
      <c r="I18" s="5" t="s">
        <v>972</v>
      </c>
      <c r="J18" s="5" t="s">
        <v>973</v>
      </c>
      <c r="K18" s="5" t="s">
        <v>974</v>
      </c>
      <c r="L18" s="5" t="s">
        <v>649</v>
      </c>
      <c r="M18" s="5"/>
    </row>
    <row r="19" customFormat="false" ht="23.85" hidden="false" customHeight="false" outlineLevel="0" collapsed="false">
      <c r="A19" s="5" t="s">
        <v>381</v>
      </c>
      <c r="B19" s="5" t="str">
        <f aca="false">IFERROR(TRIM(INDEX(Process!$D$2:$D$230,MATCH(A19,Process!$A$2:$A$230,0))),"not found")</f>
        <v>Manage leads/opportunities</v>
      </c>
      <c r="C19" s="5" t="s">
        <v>413</v>
      </c>
      <c r="D19" s="4" t="str">
        <f aca="false">IFERROR(TRIM(INDEX(Process!$D$2:$D$230,MATCH(C19,Process!$A$2:$A$230,0))),"not found")</f>
        <v>Capture jobs and needs</v>
      </c>
      <c r="E19" s="5" t="s">
        <v>272</v>
      </c>
      <c r="F19" s="5" t="s">
        <v>975</v>
      </c>
      <c r="G19" s="5" t="s">
        <v>972</v>
      </c>
      <c r="H19" s="5" t="s">
        <v>657</v>
      </c>
      <c r="I19" s="5" t="s">
        <v>968</v>
      </c>
      <c r="J19" s="5" t="s">
        <v>976</v>
      </c>
      <c r="K19" s="5" t="s">
        <v>977</v>
      </c>
      <c r="L19" s="5" t="s">
        <v>940</v>
      </c>
      <c r="M19" s="5"/>
    </row>
    <row r="20" customFormat="false" ht="23.85" hidden="false" customHeight="false" outlineLevel="0" collapsed="false">
      <c r="A20" s="5" t="s">
        <v>381</v>
      </c>
      <c r="B20" s="5" t="str">
        <f aca="false">IFERROR(TRIM(INDEX(Process!$D$2:$D$230,MATCH(A20,Process!$A$2:$A$230,0))),"not found")</f>
        <v>Manage leads/opportunities</v>
      </c>
      <c r="C20" s="5" t="s">
        <v>416</v>
      </c>
      <c r="D20" s="4" t="str">
        <f aca="false">IFERROR(TRIM(INDEX(Process!$D$2:$D$230,MATCH(C20,Process!$A$2:$A$230,0))),"not found")</f>
        <v>Handle objections</v>
      </c>
      <c r="E20" s="5" t="s">
        <v>419</v>
      </c>
      <c r="F20" s="5" t="s">
        <v>978</v>
      </c>
      <c r="G20" s="5" t="s">
        <v>979</v>
      </c>
      <c r="H20" s="5" t="s">
        <v>657</v>
      </c>
      <c r="I20" s="5" t="s">
        <v>980</v>
      </c>
      <c r="J20" s="5" t="s">
        <v>964</v>
      </c>
      <c r="K20" s="5" t="s">
        <v>981</v>
      </c>
      <c r="L20" s="5" t="s">
        <v>940</v>
      </c>
      <c r="M20" s="5"/>
    </row>
    <row r="21" customFormat="false" ht="23.85" hidden="false" customHeight="false" outlineLevel="0" collapsed="false">
      <c r="A21" s="5" t="s">
        <v>381</v>
      </c>
      <c r="B21" s="5" t="str">
        <f aca="false">IFERROR(TRIM(INDEX(Process!$D$2:$D$230,MATCH(A21,Process!$A$2:$A$230,0))),"not found")</f>
        <v>Manage leads/opportunities</v>
      </c>
      <c r="C21" s="5" t="s">
        <v>420</v>
      </c>
      <c r="D21" s="4" t="str">
        <f aca="false">IFERROR(TRIM(INDEX(Process!$D$2:$D$230,MATCH(C21,Process!$A$2:$A$230,0))),"not found")</f>
        <v>Negotiate terms</v>
      </c>
      <c r="E21" s="5" t="s">
        <v>419</v>
      </c>
      <c r="F21" s="5" t="s">
        <v>982</v>
      </c>
      <c r="G21" s="5" t="s">
        <v>983</v>
      </c>
      <c r="H21" s="5" t="s">
        <v>648</v>
      </c>
      <c r="I21" s="5" t="s">
        <v>984</v>
      </c>
      <c r="J21" s="5" t="s">
        <v>985</v>
      </c>
      <c r="K21" s="5" t="s">
        <v>986</v>
      </c>
      <c r="L21" s="5" t="s">
        <v>987</v>
      </c>
      <c r="M21" s="5"/>
    </row>
    <row r="22" customFormat="false" ht="23.85" hidden="false" customHeight="false" outlineLevel="0" collapsed="false">
      <c r="A22" s="5" t="s">
        <v>381</v>
      </c>
      <c r="B22" s="5" t="str">
        <f aca="false">IFERROR(TRIM(INDEX(Process!$D$2:$D$230,MATCH(A22,Process!$A$2:$A$230,0))),"not found")</f>
        <v>Manage leads/opportunities</v>
      </c>
      <c r="C22" s="5" t="s">
        <v>423</v>
      </c>
      <c r="D22" s="4" t="str">
        <f aca="false">IFERROR(TRIM(INDEX(Process!$D$2:$D$230,MATCH(C22,Process!$A$2:$A$230,0))),"not found")</f>
        <v>Close the sale</v>
      </c>
      <c r="E22" s="5" t="s">
        <v>419</v>
      </c>
      <c r="F22" s="5" t="s">
        <v>988</v>
      </c>
      <c r="G22" s="5" t="s">
        <v>989</v>
      </c>
      <c r="H22" s="5" t="s">
        <v>648</v>
      </c>
      <c r="I22" s="5" t="s">
        <v>990</v>
      </c>
      <c r="J22" s="5" t="s">
        <v>991</v>
      </c>
      <c r="K22" s="5" t="s">
        <v>992</v>
      </c>
      <c r="L22" s="5" t="s">
        <v>693</v>
      </c>
      <c r="M22" s="5"/>
    </row>
    <row r="23" customFormat="false" ht="23.85" hidden="false" customHeight="false" outlineLevel="0" collapsed="false">
      <c r="A23" s="5" t="s">
        <v>381</v>
      </c>
      <c r="B23" s="5" t="str">
        <f aca="false">IFERROR(TRIM(INDEX(Process!$D$2:$D$230,MATCH(A23,Process!$A$2:$A$230,0))),"not found")</f>
        <v>Manage leads/opportunities</v>
      </c>
      <c r="C23" s="5" t="s">
        <v>426</v>
      </c>
      <c r="D23" s="4" t="str">
        <f aca="false">IFERROR(TRIM(INDEX(Process!$D$2:$D$230,MATCH(C23,Process!$A$2:$A$230,0))),"not found")</f>
        <v>Record outcome of sales process</v>
      </c>
      <c r="E23" s="5" t="s">
        <v>419</v>
      </c>
      <c r="F23" s="5" t="s">
        <v>993</v>
      </c>
      <c r="G23" s="5" t="s">
        <v>994</v>
      </c>
      <c r="H23" s="5" t="s">
        <v>648</v>
      </c>
      <c r="I23" s="5" t="s">
        <v>995</v>
      </c>
      <c r="J23" s="5" t="s">
        <v>750</v>
      </c>
      <c r="K23" s="5" t="s">
        <v>996</v>
      </c>
      <c r="L23" s="5" t="s">
        <v>649</v>
      </c>
      <c r="M23" s="5"/>
    </row>
    <row r="24" customFormat="false" ht="23.85" hidden="false" customHeight="false" outlineLevel="0" collapsed="false">
      <c r="A24" s="5" t="s">
        <v>428</v>
      </c>
      <c r="B24" s="5" t="str">
        <f aca="false">IFERROR(TRIM(INDEX(Process!$D$2:$D$230,MATCH(A24,Process!$A$2:$A$230,0))),"not found")</f>
        <v>Client transition planning</v>
      </c>
      <c r="C24" s="5" t="s">
        <v>431</v>
      </c>
      <c r="D24" s="4" t="str">
        <f aca="false">IFERROR(TRIM(INDEX(Process!$D$2:$D$230,MATCH(C24,Process!$A$2:$A$230,0))),"not found")</f>
        <v>Policy and records mapping</v>
      </c>
      <c r="E24" s="5" t="s">
        <v>419</v>
      </c>
      <c r="F24" s="5" t="s">
        <v>997</v>
      </c>
      <c r="G24" s="5" t="s">
        <v>998</v>
      </c>
      <c r="H24" s="5" t="s">
        <v>648</v>
      </c>
      <c r="I24" s="5" t="s">
        <v>999</v>
      </c>
      <c r="J24" s="5" t="s">
        <v>1000</v>
      </c>
      <c r="K24" s="5" t="s">
        <v>1001</v>
      </c>
      <c r="L24" s="5" t="s">
        <v>686</v>
      </c>
      <c r="M24" s="5"/>
    </row>
    <row r="25" customFormat="false" ht="23.85" hidden="false" customHeight="false" outlineLevel="0" collapsed="false">
      <c r="A25" s="5" t="s">
        <v>428</v>
      </c>
      <c r="B25" s="5" t="str">
        <f aca="false">IFERROR(TRIM(INDEX(Process!$D$2:$D$230,MATCH(A25,Process!$A$2:$A$230,0))),"not found")</f>
        <v>Client transition planning</v>
      </c>
      <c r="C25" s="5" t="s">
        <v>434</v>
      </c>
      <c r="D25" s="4" t="str">
        <f aca="false">IFERROR(TRIM(INDEX(Process!$D$2:$D$230,MATCH(C25,Process!$A$2:$A$230,0))),"not found")</f>
        <v>Transition communication planning</v>
      </c>
      <c r="E25" s="5" t="s">
        <v>419</v>
      </c>
      <c r="F25" s="5" t="s">
        <v>1002</v>
      </c>
      <c r="G25" s="5" t="s">
        <v>1003</v>
      </c>
      <c r="H25" s="5" t="s">
        <v>1004</v>
      </c>
      <c r="I25" s="5" t="s">
        <v>1005</v>
      </c>
      <c r="J25" s="5" t="s">
        <v>1006</v>
      </c>
      <c r="K25" s="5" t="s">
        <v>1007</v>
      </c>
      <c r="L25" s="5" t="s">
        <v>686</v>
      </c>
      <c r="M25" s="5"/>
    </row>
    <row r="26" customFormat="false" ht="23.85" hidden="false" customHeight="false" outlineLevel="0" collapsed="false">
      <c r="A26" s="5" t="s">
        <v>437</v>
      </c>
      <c r="B26" s="5" t="str">
        <f aca="false">IFERROR(TRIM(INDEX(Process!$D$2:$D$230,MATCH(A26,Process!$A$2:$A$230,0))),"not found")</f>
        <v>Manage customers and accounts</v>
      </c>
      <c r="C26" s="5" t="s">
        <v>439</v>
      </c>
      <c r="D26" s="4" t="str">
        <f aca="false">IFERROR(TRIM(INDEX(Process!$D$2:$D$230,MATCH(C26,Process!$A$2:$A$230,0))),"not found")</f>
        <v>Select key customers/accounts</v>
      </c>
      <c r="E26" s="5"/>
      <c r="F26" s="5" t="s">
        <v>1008</v>
      </c>
      <c r="G26" s="5" t="s">
        <v>1009</v>
      </c>
      <c r="H26" s="5" t="s">
        <v>943</v>
      </c>
      <c r="I26" s="5" t="s">
        <v>1010</v>
      </c>
      <c r="J26" s="5" t="s">
        <v>1011</v>
      </c>
      <c r="K26" s="5" t="s">
        <v>1012</v>
      </c>
      <c r="L26" s="5" t="s">
        <v>649</v>
      </c>
      <c r="M26" s="5"/>
    </row>
    <row r="27" customFormat="false" ht="23.85" hidden="false" customHeight="false" outlineLevel="0" collapsed="false">
      <c r="A27" s="5" t="s">
        <v>437</v>
      </c>
      <c r="B27" s="5" t="str">
        <f aca="false">IFERROR(TRIM(INDEX(Process!$D$2:$D$230,MATCH(A27,Process!$A$2:$A$230,0))),"not found")</f>
        <v>Manage customers and accounts</v>
      </c>
      <c r="C27" s="5" t="s">
        <v>441</v>
      </c>
      <c r="D27" s="4" t="str">
        <f aca="false">IFERROR(TRIM(INDEX(Process!$D$2:$D$230,MATCH(C27,Process!$A$2:$A$230,0))),"not found")</f>
        <v>Develop sales/key account plan</v>
      </c>
      <c r="E27" s="5"/>
      <c r="F27" s="5" t="s">
        <v>1013</v>
      </c>
      <c r="G27" s="5" t="s">
        <v>1014</v>
      </c>
      <c r="H27" s="5" t="s">
        <v>1015</v>
      </c>
      <c r="I27" s="5" t="s">
        <v>1016</v>
      </c>
      <c r="J27" s="5" t="s">
        <v>1017</v>
      </c>
      <c r="K27" s="5" t="s">
        <v>1018</v>
      </c>
      <c r="L27" s="5" t="s">
        <v>649</v>
      </c>
      <c r="M27" s="5"/>
    </row>
    <row r="28" customFormat="false" ht="23.85" hidden="false" customHeight="false" outlineLevel="0" collapsed="false">
      <c r="A28" s="5" t="s">
        <v>437</v>
      </c>
      <c r="B28" s="5" t="str">
        <f aca="false">IFERROR(TRIM(INDEX(Process!$D$2:$D$230,MATCH(A28,Process!$A$2:$A$230,0))),"not found")</f>
        <v>Manage customers and accounts</v>
      </c>
      <c r="C28" s="5" t="s">
        <v>443</v>
      </c>
      <c r="D28" s="4" t="str">
        <f aca="false">IFERROR(TRIM(INDEX(Process!$D$2:$D$230,MATCH(C28,Process!$A$2:$A$230,0))),"not found")</f>
        <v>Manage sales/key account plan</v>
      </c>
      <c r="E28" s="5"/>
      <c r="F28" s="5" t="s">
        <v>1011</v>
      </c>
      <c r="G28" s="5" t="s">
        <v>1016</v>
      </c>
      <c r="H28" s="5" t="s">
        <v>1015</v>
      </c>
      <c r="I28" s="5" t="s">
        <v>1019</v>
      </c>
      <c r="J28" s="5" t="s">
        <v>1020</v>
      </c>
      <c r="K28" s="5" t="s">
        <v>1021</v>
      </c>
      <c r="L28" s="5" t="s">
        <v>649</v>
      </c>
      <c r="M28" s="5"/>
    </row>
    <row r="29" customFormat="false" ht="23.85" hidden="false" customHeight="false" outlineLevel="0" collapsed="false">
      <c r="A29" s="5" t="s">
        <v>437</v>
      </c>
      <c r="B29" s="5" t="str">
        <f aca="false">IFERROR(TRIM(INDEX(Process!$D$2:$D$230,MATCH(A29,Process!$A$2:$A$230,0))),"not found")</f>
        <v>Manage customers and accounts</v>
      </c>
      <c r="C29" s="5" t="s">
        <v>445</v>
      </c>
      <c r="D29" s="4" t="str">
        <f aca="false">IFERROR(TRIM(INDEX(Process!$D$2:$D$230,MATCH(C29,Process!$A$2:$A$230,0))),"not found")</f>
        <v>Manage customer relationships</v>
      </c>
      <c r="E29" s="5"/>
      <c r="F29" s="5" t="s">
        <v>1022</v>
      </c>
      <c r="G29" s="5" t="s">
        <v>1023</v>
      </c>
      <c r="H29" s="5" t="s">
        <v>700</v>
      </c>
      <c r="I29" s="5" t="s">
        <v>1024</v>
      </c>
      <c r="J29" s="5" t="s">
        <v>1025</v>
      </c>
      <c r="K29" s="5" t="s">
        <v>1026</v>
      </c>
      <c r="L29" s="5" t="s">
        <v>649</v>
      </c>
      <c r="M29" s="5"/>
    </row>
    <row r="30" customFormat="false" ht="23.85" hidden="false" customHeight="false" outlineLevel="0" collapsed="false">
      <c r="A30" s="5" t="s">
        <v>437</v>
      </c>
      <c r="B30" s="5" t="str">
        <f aca="false">IFERROR(TRIM(INDEX(Process!$D$2:$D$230,MATCH(A30,Process!$A$2:$A$230,0))),"not found")</f>
        <v>Manage customers and accounts</v>
      </c>
      <c r="C30" s="5" t="s">
        <v>449</v>
      </c>
      <c r="D30" s="4" t="str">
        <f aca="false">IFERROR(TRIM(INDEX(Process!$D$2:$D$230,MATCH(C30,Process!$A$2:$A$230,0))),"not found")</f>
        <v>Collect and merge internal and third-party customer information</v>
      </c>
      <c r="E30" s="5"/>
      <c r="F30" s="5" t="s">
        <v>1027</v>
      </c>
      <c r="G30" s="5" t="s">
        <v>1028</v>
      </c>
      <c r="H30" s="5" t="s">
        <v>744</v>
      </c>
      <c r="I30" s="5" t="s">
        <v>1029</v>
      </c>
      <c r="J30" s="5" t="s">
        <v>1030</v>
      </c>
      <c r="K30" s="5" t="s">
        <v>1031</v>
      </c>
      <c r="L30" s="5" t="s">
        <v>1032</v>
      </c>
      <c r="M30" s="5"/>
    </row>
    <row r="31" customFormat="false" ht="15" hidden="false" customHeight="false" outlineLevel="0" collapsed="false">
      <c r="A31" s="5" t="s">
        <v>437</v>
      </c>
      <c r="B31" s="5" t="str">
        <f aca="false">IFERROR(TRIM(INDEX(Process!$D$2:$D$230,MATCH(A31,Process!$A$2:$A$230,0))),"not found")</f>
        <v>Manage customers and accounts</v>
      </c>
      <c r="C31" s="5" t="s">
        <v>451</v>
      </c>
      <c r="D31" s="4" t="str">
        <f aca="false">IFERROR(TRIM(INDEX(Process!$D$2:$D$230,MATCH(C31,Process!$A$2:$A$230,0))),"not found")</f>
        <v>De-duplicate customer data</v>
      </c>
      <c r="E31" s="5"/>
      <c r="F31" s="5" t="s">
        <v>1033</v>
      </c>
      <c r="G31" s="5" t="s">
        <v>1029</v>
      </c>
      <c r="H31" s="5" t="s">
        <v>1034</v>
      </c>
      <c r="I31" s="5" t="s">
        <v>1035</v>
      </c>
      <c r="J31" s="5" t="s">
        <v>1036</v>
      </c>
      <c r="K31" s="5" t="s">
        <v>1037</v>
      </c>
      <c r="L31" s="5" t="s">
        <v>1032</v>
      </c>
      <c r="M31" s="5"/>
    </row>
    <row r="32" customFormat="false" ht="23.85" hidden="false" customHeight="false" outlineLevel="0" collapsed="false">
      <c r="A32" s="5" t="s">
        <v>453</v>
      </c>
      <c r="B32" s="5" t="str">
        <f aca="false">IFERROR(TRIM(INDEX(Process!$D$2:$D$230,MATCH(A32,Process!$A$2:$A$230,0))),"not found")</f>
        <v>Develop and manage sales proposals, bids, and quotes</v>
      </c>
      <c r="C32" s="5" t="s">
        <v>455</v>
      </c>
      <c r="D32" s="4" t="str">
        <f aca="false">IFERROR(TRIM(INDEX(Process!$D$2:$D$230,MATCH(C32,Process!$A$2:$A$230,0))),"not found")</f>
        <v>Receive Request For Proposal (RFP)/Request For Quote (RFQ)</v>
      </c>
      <c r="E32" s="5" t="s">
        <v>457</v>
      </c>
      <c r="F32" s="5" t="s">
        <v>1038</v>
      </c>
      <c r="G32" s="5" t="s">
        <v>1039</v>
      </c>
      <c r="H32" s="5" t="s">
        <v>648</v>
      </c>
      <c r="I32" s="5" t="s">
        <v>1040</v>
      </c>
      <c r="J32" s="5" t="s">
        <v>1041</v>
      </c>
      <c r="K32" s="5" t="s">
        <v>1042</v>
      </c>
      <c r="L32" s="5" t="s">
        <v>649</v>
      </c>
      <c r="M32" s="5"/>
    </row>
    <row r="33" customFormat="false" ht="23.85" hidden="false" customHeight="false" outlineLevel="0" collapsed="false">
      <c r="A33" s="5" t="s">
        <v>453</v>
      </c>
      <c r="B33" s="5" t="str">
        <f aca="false">IFERROR(TRIM(INDEX(Process!$D$2:$D$230,MATCH(A33,Process!$A$2:$A$230,0))),"not found")</f>
        <v>Develop and manage sales proposals, bids, and quotes</v>
      </c>
      <c r="C33" s="5" t="s">
        <v>458</v>
      </c>
      <c r="D33" s="4" t="str">
        <f aca="false">IFERROR(TRIM(INDEX(Process!$D$2:$D$230,MATCH(C33,Process!$A$2:$A$230,0))),"not found")</f>
        <v>Refine customer requirements</v>
      </c>
      <c r="E33" s="5" t="s">
        <v>397</v>
      </c>
      <c r="F33" s="5" t="s">
        <v>1043</v>
      </c>
      <c r="G33" s="5" t="s">
        <v>1044</v>
      </c>
      <c r="H33" s="5" t="s">
        <v>648</v>
      </c>
      <c r="I33" s="5" t="s">
        <v>1045</v>
      </c>
      <c r="J33" s="5" t="s">
        <v>1046</v>
      </c>
      <c r="K33" s="5" t="s">
        <v>1047</v>
      </c>
      <c r="L33" s="5" t="s">
        <v>940</v>
      </c>
      <c r="M33" s="5"/>
    </row>
    <row r="34" customFormat="false" ht="23.85" hidden="false" customHeight="false" outlineLevel="0" collapsed="false">
      <c r="A34" s="5" t="s">
        <v>453</v>
      </c>
      <c r="B34" s="5" t="str">
        <f aca="false">IFERROR(TRIM(INDEX(Process!$D$2:$D$230,MATCH(A34,Process!$A$2:$A$230,0))),"not found")</f>
        <v>Develop and manage sales proposals, bids, and quotes</v>
      </c>
      <c r="C34" s="5" t="s">
        <v>460</v>
      </c>
      <c r="D34" s="4" t="str">
        <f aca="false">IFERROR(TRIM(INDEX(Process!$D$2:$D$230,MATCH(C34,Process!$A$2:$A$230,0))),"not found")</f>
        <v>Review RFP/RFQ request</v>
      </c>
      <c r="E34" s="5" t="s">
        <v>457</v>
      </c>
      <c r="F34" s="5" t="s">
        <v>1048</v>
      </c>
      <c r="G34" s="5" t="s">
        <v>1049</v>
      </c>
      <c r="H34" s="5" t="s">
        <v>943</v>
      </c>
      <c r="I34" s="5" t="s">
        <v>1050</v>
      </c>
      <c r="J34" s="5" t="s">
        <v>648</v>
      </c>
      <c r="K34" s="5" t="s">
        <v>1051</v>
      </c>
      <c r="L34" s="5" t="s">
        <v>649</v>
      </c>
      <c r="M34" s="5"/>
    </row>
    <row r="35" customFormat="false" ht="23.85" hidden="false" customHeight="false" outlineLevel="0" collapsed="false">
      <c r="A35" s="5" t="s">
        <v>453</v>
      </c>
      <c r="B35" s="5" t="str">
        <f aca="false">IFERROR(TRIM(INDEX(Process!$D$2:$D$230,MATCH(A35,Process!$A$2:$A$230,0))),"not found")</f>
        <v>Develop and manage sales proposals, bids, and quotes</v>
      </c>
      <c r="C35" s="5" t="s">
        <v>462</v>
      </c>
      <c r="D35" s="4" t="str">
        <f aca="false">IFERROR(TRIM(INDEX(Process!$D$2:$D$230,MATCH(C35,Process!$A$2:$A$230,0))),"not found")</f>
        <v>Perform competitive analysis</v>
      </c>
      <c r="E35" s="5" t="s">
        <v>397</v>
      </c>
      <c r="F35" s="5" t="s">
        <v>1052</v>
      </c>
      <c r="G35" s="5" t="s">
        <v>1053</v>
      </c>
      <c r="H35" s="5" t="s">
        <v>657</v>
      </c>
      <c r="I35" s="5" t="s">
        <v>1054</v>
      </c>
      <c r="J35" s="5" t="s">
        <v>1055</v>
      </c>
      <c r="K35" s="5" t="s">
        <v>1056</v>
      </c>
      <c r="L35" s="5" t="s">
        <v>1057</v>
      </c>
      <c r="M35" s="5"/>
    </row>
    <row r="36" customFormat="false" ht="23.85" hidden="false" customHeight="false" outlineLevel="0" collapsed="false">
      <c r="A36" s="5" t="s">
        <v>453</v>
      </c>
      <c r="B36" s="5" t="str">
        <f aca="false">IFERROR(TRIM(INDEX(Process!$D$2:$D$230,MATCH(A36,Process!$A$2:$A$230,0))),"not found")</f>
        <v>Develop and manage sales proposals, bids, and quotes</v>
      </c>
      <c r="C36" s="5" t="s">
        <v>464</v>
      </c>
      <c r="D36" s="4" t="str">
        <f aca="false">IFERROR(TRIM(INDEX(Process!$D$2:$D$230,MATCH(C36,Process!$A$2:$A$230,0))),"not found")</f>
        <v>Validate with strategy/business plans</v>
      </c>
      <c r="E36" s="5" t="s">
        <v>457</v>
      </c>
      <c r="F36" s="5" t="s">
        <v>1058</v>
      </c>
      <c r="G36" s="5" t="s">
        <v>1059</v>
      </c>
      <c r="H36" s="5" t="s">
        <v>943</v>
      </c>
      <c r="I36" s="5" t="s">
        <v>1060</v>
      </c>
      <c r="J36" s="5" t="s">
        <v>1061</v>
      </c>
      <c r="K36" s="5" t="s">
        <v>1062</v>
      </c>
      <c r="L36" s="5" t="s">
        <v>649</v>
      </c>
      <c r="M36" s="5"/>
    </row>
    <row r="37" customFormat="false" ht="35.05" hidden="false" customHeight="false" outlineLevel="0" collapsed="false">
      <c r="A37" s="5" t="s">
        <v>453</v>
      </c>
      <c r="B37" s="5" t="str">
        <f aca="false">IFERROR(TRIM(INDEX(Process!$D$2:$D$230,MATCH(A37,Process!$A$2:$A$230,0))),"not found")</f>
        <v>Develop and manage sales proposals, bids, and quotes</v>
      </c>
      <c r="C37" s="5" t="s">
        <v>466</v>
      </c>
      <c r="D37" s="4" t="str">
        <f aca="false">IFERROR(TRIM(INDEX(Process!$D$2:$D$230,MATCH(C37,Process!$A$2:$A$230,0))),"not found")</f>
        <v>Understand customer business and requirements</v>
      </c>
      <c r="E37" s="5" t="s">
        <v>397</v>
      </c>
      <c r="F37" s="5" t="s">
        <v>1063</v>
      </c>
      <c r="G37" s="5" t="s">
        <v>1064</v>
      </c>
      <c r="H37" s="5" t="s">
        <v>648</v>
      </c>
      <c r="I37" s="5" t="s">
        <v>1065</v>
      </c>
      <c r="J37" s="5" t="s">
        <v>1061</v>
      </c>
      <c r="K37" s="5" t="s">
        <v>1066</v>
      </c>
      <c r="L37" s="5" t="s">
        <v>940</v>
      </c>
      <c r="M37" s="5"/>
    </row>
    <row r="38" customFormat="false" ht="35.05" hidden="false" customHeight="false" outlineLevel="0" collapsed="false">
      <c r="A38" s="5" t="s">
        <v>453</v>
      </c>
      <c r="B38" s="5" t="str">
        <f aca="false">IFERROR(TRIM(INDEX(Process!$D$2:$D$230,MATCH(A38,Process!$A$2:$A$230,0))),"not found")</f>
        <v>Develop and manage sales proposals, bids, and quotes</v>
      </c>
      <c r="C38" s="5" t="s">
        <v>468</v>
      </c>
      <c r="D38" s="4" t="str">
        <f aca="false">IFERROR(TRIM(INDEX(Process!$D$2:$D$230,MATCH(C38,Process!$A$2:$A$230,0))),"not found")</f>
        <v>Develop solution and delivery approach</v>
      </c>
      <c r="E38" s="5" t="s">
        <v>457</v>
      </c>
      <c r="F38" s="5" t="s">
        <v>1067</v>
      </c>
      <c r="G38" s="5" t="s">
        <v>1068</v>
      </c>
      <c r="H38" s="5" t="s">
        <v>672</v>
      </c>
      <c r="I38" s="5" t="s">
        <v>1069</v>
      </c>
      <c r="J38" s="5" t="s">
        <v>1070</v>
      </c>
      <c r="K38" s="5" t="s">
        <v>1071</v>
      </c>
      <c r="L38" s="5" t="s">
        <v>1072</v>
      </c>
      <c r="M38" s="5"/>
    </row>
    <row r="39" customFormat="false" ht="23.85" hidden="false" customHeight="false" outlineLevel="0" collapsed="false">
      <c r="A39" s="5" t="s">
        <v>453</v>
      </c>
      <c r="B39" s="5" t="str">
        <f aca="false">IFERROR(TRIM(INDEX(Process!$D$2:$D$230,MATCH(A39,Process!$A$2:$A$230,0))),"not found")</f>
        <v>Develop and manage sales proposals, bids, and quotes</v>
      </c>
      <c r="C39" s="5" t="s">
        <v>470</v>
      </c>
      <c r="D39" s="4" t="str">
        <f aca="false">IFERROR(TRIM(INDEX(Process!$D$2:$D$230,MATCH(C39,Process!$A$2:$A$230,0))),"not found")</f>
        <v>Identify staffing requirements</v>
      </c>
      <c r="E39" s="5" t="s">
        <v>457</v>
      </c>
      <c r="F39" s="5" t="s">
        <v>1061</v>
      </c>
      <c r="G39" s="5" t="s">
        <v>1073</v>
      </c>
      <c r="H39" s="5" t="s">
        <v>1074</v>
      </c>
      <c r="I39" s="5" t="s">
        <v>1075</v>
      </c>
      <c r="J39" s="5" t="s">
        <v>1076</v>
      </c>
      <c r="K39" s="5" t="s">
        <v>1077</v>
      </c>
      <c r="L39" s="5" t="s">
        <v>1072</v>
      </c>
      <c r="M39" s="5"/>
    </row>
    <row r="40" customFormat="false" ht="23.85" hidden="false" customHeight="false" outlineLevel="0" collapsed="false">
      <c r="A40" s="5" t="s">
        <v>453</v>
      </c>
      <c r="B40" s="5" t="str">
        <f aca="false">IFERROR(TRIM(INDEX(Process!$D$2:$D$230,MATCH(A40,Process!$A$2:$A$230,0))),"not found")</f>
        <v>Develop and manage sales proposals, bids, and quotes</v>
      </c>
      <c r="C40" s="5" t="s">
        <v>473</v>
      </c>
      <c r="D40" s="4" t="str">
        <f aca="false">IFERROR(TRIM(INDEX(Process!$D$2:$D$230,MATCH(C40,Process!$A$2:$A$230,0))),"not found")</f>
        <v>Develop pricing and scheduling estimates</v>
      </c>
      <c r="E40" s="5" t="s">
        <v>457</v>
      </c>
      <c r="F40" s="5" t="s">
        <v>1078</v>
      </c>
      <c r="G40" s="5" t="s">
        <v>1079</v>
      </c>
      <c r="H40" s="5" t="s">
        <v>679</v>
      </c>
      <c r="I40" s="5" t="s">
        <v>1080</v>
      </c>
      <c r="J40" s="5" t="s">
        <v>1081</v>
      </c>
      <c r="K40" s="5" t="s">
        <v>1082</v>
      </c>
      <c r="L40" s="5" t="s">
        <v>1083</v>
      </c>
      <c r="M40" s="5"/>
    </row>
    <row r="41" customFormat="false" ht="23.85" hidden="false" customHeight="false" outlineLevel="0" collapsed="false">
      <c r="A41" s="5" t="s">
        <v>453</v>
      </c>
      <c r="B41" s="5" t="str">
        <f aca="false">IFERROR(TRIM(INDEX(Process!$D$2:$D$230,MATCH(A41,Process!$A$2:$A$230,0))),"not found")</f>
        <v>Develop and manage sales proposals, bids, and quotes</v>
      </c>
      <c r="C41" s="5" t="s">
        <v>479</v>
      </c>
      <c r="D41" s="4" t="str">
        <f aca="false">IFERROR(TRIM(INDEX(Process!$D$2:$D$230,MATCH(C41,Process!$A$2:$A$230,0))),"not found")</f>
        <v>Manage internal reviews</v>
      </c>
      <c r="E41" s="5" t="s">
        <v>457</v>
      </c>
      <c r="F41" s="5" t="s">
        <v>1084</v>
      </c>
      <c r="G41" s="5" t="s">
        <v>1080</v>
      </c>
      <c r="H41" s="5" t="s">
        <v>1085</v>
      </c>
      <c r="I41" s="5" t="s">
        <v>1086</v>
      </c>
      <c r="J41" s="5" t="s">
        <v>1087</v>
      </c>
      <c r="K41" s="5" t="s">
        <v>1088</v>
      </c>
      <c r="L41" s="5" t="s">
        <v>1089</v>
      </c>
      <c r="M41" s="5"/>
    </row>
    <row r="42" customFormat="false" ht="23.85" hidden="false" customHeight="false" outlineLevel="0" collapsed="false">
      <c r="A42" s="5" t="s">
        <v>453</v>
      </c>
      <c r="B42" s="5" t="str">
        <f aca="false">IFERROR(TRIM(INDEX(Process!$D$2:$D$230,MATCH(A42,Process!$A$2:$A$230,0))),"not found")</f>
        <v>Develop and manage sales proposals, bids, and quotes</v>
      </c>
      <c r="C42" s="5" t="s">
        <v>482</v>
      </c>
      <c r="D42" s="4" t="str">
        <f aca="false">IFERROR(TRIM(INDEX(Process!$D$2:$D$230,MATCH(C42,Process!$A$2:$A$230,0))),"not found")</f>
        <v>Manage internal approvals</v>
      </c>
      <c r="E42" s="5" t="s">
        <v>419</v>
      </c>
      <c r="F42" s="5" t="s">
        <v>1090</v>
      </c>
      <c r="G42" s="5" t="s">
        <v>1091</v>
      </c>
      <c r="H42" s="5" t="s">
        <v>1092</v>
      </c>
      <c r="I42" s="5" t="s">
        <v>1093</v>
      </c>
      <c r="J42" s="5" t="s">
        <v>1094</v>
      </c>
      <c r="K42" s="5" t="s">
        <v>1095</v>
      </c>
      <c r="L42" s="5" t="s">
        <v>805</v>
      </c>
      <c r="M42" s="5"/>
    </row>
    <row r="43" customFormat="false" ht="23.85" hidden="false" customHeight="false" outlineLevel="0" collapsed="false">
      <c r="A43" s="5" t="s">
        <v>453</v>
      </c>
      <c r="B43" s="5" t="str">
        <f aca="false">IFERROR(TRIM(INDEX(Process!$D$2:$D$230,MATCH(A43,Process!$A$2:$A$230,0))),"not found")</f>
        <v>Develop and manage sales proposals, bids, and quotes</v>
      </c>
      <c r="C43" s="5" t="s">
        <v>485</v>
      </c>
      <c r="D43" s="4" t="str">
        <f aca="false">IFERROR(TRIM(INDEX(Process!$D$2:$D$230,MATCH(C43,Process!$A$2:$A$230,0))),"not found")</f>
        <v>Submit/present bid/proposal/quote to customer</v>
      </c>
      <c r="E43" s="5" t="s">
        <v>457</v>
      </c>
      <c r="F43" s="5" t="s">
        <v>1087</v>
      </c>
      <c r="G43" s="5" t="s">
        <v>1096</v>
      </c>
      <c r="H43" s="5" t="s">
        <v>648</v>
      </c>
      <c r="I43" s="5" t="s">
        <v>1097</v>
      </c>
      <c r="J43" s="5" t="s">
        <v>1098</v>
      </c>
      <c r="K43" s="5" t="s">
        <v>1099</v>
      </c>
      <c r="L43" s="5" t="s">
        <v>1072</v>
      </c>
      <c r="M43" s="5"/>
    </row>
    <row r="44" customFormat="false" ht="23.85" hidden="false" customHeight="false" outlineLevel="0" collapsed="false">
      <c r="A44" s="5" t="s">
        <v>453</v>
      </c>
      <c r="B44" s="5" t="str">
        <f aca="false">IFERROR(TRIM(INDEX(Process!$D$2:$D$230,MATCH(A44,Process!$A$2:$A$230,0))),"not found")</f>
        <v>Develop and manage sales proposals, bids, and quotes</v>
      </c>
      <c r="C44" s="5" t="s">
        <v>487</v>
      </c>
      <c r="D44" s="4" t="str">
        <f aca="false">IFERROR(TRIM(INDEX(Process!$D$2:$D$230,MATCH(C44,Process!$A$2:$A$230,0))),"not found")</f>
        <v>Revise bid/proposal/quote</v>
      </c>
      <c r="E44" s="5" t="s">
        <v>419</v>
      </c>
      <c r="F44" s="5" t="s">
        <v>1100</v>
      </c>
      <c r="G44" s="5" t="s">
        <v>1101</v>
      </c>
      <c r="H44" s="5" t="s">
        <v>648</v>
      </c>
      <c r="I44" s="5" t="s">
        <v>1102</v>
      </c>
      <c r="J44" s="5" t="s">
        <v>1098</v>
      </c>
      <c r="K44" s="5" t="s">
        <v>1103</v>
      </c>
      <c r="L44" s="5" t="s">
        <v>1072</v>
      </c>
      <c r="M44" s="5"/>
    </row>
    <row r="45" customFormat="false" ht="23.85" hidden="false" customHeight="false" outlineLevel="0" collapsed="false">
      <c r="A45" s="5" t="s">
        <v>453</v>
      </c>
      <c r="B45" s="5" t="str">
        <f aca="false">IFERROR(TRIM(INDEX(Process!$D$2:$D$230,MATCH(A45,Process!$A$2:$A$230,0))),"not found")</f>
        <v>Develop and manage sales proposals, bids, and quotes</v>
      </c>
      <c r="C45" s="5" t="s">
        <v>489</v>
      </c>
      <c r="D45" s="4" t="str">
        <f aca="false">IFERROR(TRIM(INDEX(Process!$D$2:$D$230,MATCH(C45,Process!$A$2:$A$230,0))),"not found")</f>
        <v>Manage notification outcome</v>
      </c>
      <c r="E45" s="5" t="s">
        <v>419</v>
      </c>
      <c r="F45" s="5" t="s">
        <v>1104</v>
      </c>
      <c r="G45" s="5" t="s">
        <v>1105</v>
      </c>
      <c r="H45" s="5" t="s">
        <v>648</v>
      </c>
      <c r="I45" s="5" t="s">
        <v>1106</v>
      </c>
      <c r="J45" s="5" t="s">
        <v>1107</v>
      </c>
      <c r="K45" s="5" t="s">
        <v>1108</v>
      </c>
      <c r="L45" s="5" t="s">
        <v>649</v>
      </c>
      <c r="M45" s="5"/>
    </row>
    <row r="46" customFormat="false" ht="15" hidden="false" customHeight="false" outlineLevel="0" collapsed="false">
      <c r="A46" s="24" t="s">
        <v>491</v>
      </c>
      <c r="B46" s="24" t="str">
        <f aca="false">IFERROR(TRIM(INDEX(Process!$D$2:$D$230,MATCH(A46,Process!$A$2:$A$230,0))),"not found")</f>
        <v>Census collection</v>
      </c>
      <c r="C46" s="24" t="s">
        <v>495</v>
      </c>
      <c r="D46" s="25" t="str">
        <f aca="false">IFERROR(TRIM(INDEX(Process!$D$2:$D$230,MATCH(C46,Process!$A$2:$A$230,0))),"not found")</f>
        <v>Census request</v>
      </c>
      <c r="E46" s="24" t="s">
        <v>397</v>
      </c>
      <c r="F46" s="24" t="s">
        <v>1109</v>
      </c>
      <c r="G46" s="24" t="s">
        <v>1109</v>
      </c>
      <c r="H46" s="24" t="s">
        <v>1110</v>
      </c>
      <c r="I46" s="24" t="s">
        <v>1111</v>
      </c>
      <c r="J46" s="24" t="s">
        <v>1112</v>
      </c>
      <c r="K46" s="24" t="s">
        <v>1113</v>
      </c>
      <c r="L46" s="24"/>
      <c r="M46" s="24" t="s">
        <v>1114</v>
      </c>
    </row>
    <row r="47" customFormat="false" ht="23.85" hidden="false" customHeight="false" outlineLevel="0" collapsed="false">
      <c r="A47" s="24" t="s">
        <v>491</v>
      </c>
      <c r="B47" s="24" t="str">
        <f aca="false">IFERROR(TRIM(INDEX(Process!$D$2:$D$230,MATCH(A47,Process!$A$2:$A$230,0))),"not found")</f>
        <v>Census collection</v>
      </c>
      <c r="C47" s="24" t="s">
        <v>499</v>
      </c>
      <c r="D47" s="25" t="str">
        <f aca="false">IFERROR(TRIM(INDEX(Process!$D$2:$D$230,MATCH(C47,Process!$A$2:$A$230,0))),"not found")</f>
        <v>Census validation</v>
      </c>
      <c r="E47" s="24" t="s">
        <v>397</v>
      </c>
      <c r="F47" s="24" t="s">
        <v>1112</v>
      </c>
      <c r="G47" s="24" t="s">
        <v>1115</v>
      </c>
      <c r="H47" s="24" t="s">
        <v>1116</v>
      </c>
      <c r="I47" s="24" t="s">
        <v>1117</v>
      </c>
      <c r="J47" s="24" t="s">
        <v>1118</v>
      </c>
      <c r="K47" s="24" t="s">
        <v>1119</v>
      </c>
      <c r="L47" s="24" t="s">
        <v>940</v>
      </c>
      <c r="M47" s="24" t="s">
        <v>1114</v>
      </c>
    </row>
    <row r="48" customFormat="false" ht="23.85" hidden="false" customHeight="false" outlineLevel="0" collapsed="false">
      <c r="A48" s="24" t="s">
        <v>503</v>
      </c>
      <c r="B48" s="24" t="str">
        <f aca="false">IFERROR(TRIM(INDEX(Process!$D$2:$D$230,MATCH(A48,Process!$A$2:$A$230,0))),"not found")</f>
        <v>Employment cost analysis</v>
      </c>
      <c r="C48" s="24" t="s">
        <v>507</v>
      </c>
      <c r="D48" s="25" t="str">
        <f aca="false">IFERROR(TRIM(INDEX(Process!$D$2:$D$230,MATCH(C48,Process!$A$2:$A$230,0))),"not found")</f>
        <v>Current cost collection</v>
      </c>
      <c r="E48" s="24" t="s">
        <v>397</v>
      </c>
      <c r="F48" s="24" t="s">
        <v>1120</v>
      </c>
      <c r="G48" s="24" t="s">
        <v>1121</v>
      </c>
      <c r="H48" s="24" t="s">
        <v>1122</v>
      </c>
      <c r="I48" s="24" t="s">
        <v>1123</v>
      </c>
      <c r="J48" s="24" t="s">
        <v>1124</v>
      </c>
      <c r="K48" s="24" t="s">
        <v>1125</v>
      </c>
      <c r="L48" s="24" t="s">
        <v>940</v>
      </c>
      <c r="M48" s="24" t="s">
        <v>1114</v>
      </c>
    </row>
    <row r="49" customFormat="false" ht="15" hidden="false" customHeight="false" outlineLevel="0" collapsed="false">
      <c r="A49" s="24" t="s">
        <v>503</v>
      </c>
      <c r="B49" s="24" t="str">
        <f aca="false">IFERROR(TRIM(INDEX(Process!$D$2:$D$230,MATCH(A49,Process!$A$2:$A$230,0))),"not found")</f>
        <v>Employment cost analysis</v>
      </c>
      <c r="C49" s="24" t="s">
        <v>511</v>
      </c>
      <c r="D49" s="25" t="str">
        <f aca="false">IFERROR(TRIM(INDEX(Process!$D$2:$D$230,MATCH(C49,Process!$A$2:$A$230,0))),"not found")</f>
        <v>Workforce cost forecasting</v>
      </c>
      <c r="E49" s="24" t="s">
        <v>397</v>
      </c>
      <c r="F49" s="24" t="s">
        <v>1126</v>
      </c>
      <c r="G49" s="24" t="s">
        <v>1127</v>
      </c>
      <c r="H49" s="24" t="s">
        <v>1116</v>
      </c>
      <c r="I49" s="24" t="s">
        <v>1128</v>
      </c>
      <c r="J49" s="24" t="s">
        <v>1129</v>
      </c>
      <c r="K49" s="24" t="s">
        <v>1130</v>
      </c>
      <c r="L49" s="24" t="s">
        <v>658</v>
      </c>
      <c r="M49" s="24" t="s">
        <v>1114</v>
      </c>
    </row>
    <row r="50" customFormat="false" ht="23.85" hidden="false" customHeight="false" outlineLevel="0" collapsed="false">
      <c r="A50" s="24" t="s">
        <v>503</v>
      </c>
      <c r="B50" s="24" t="str">
        <f aca="false">IFERROR(TRIM(INDEX(Process!$D$2:$D$230,MATCH(A50,Process!$A$2:$A$230,0))),"not found")</f>
        <v>Employment cost analysis</v>
      </c>
      <c r="C50" s="24" t="s">
        <v>515</v>
      </c>
      <c r="D50" s="25" t="str">
        <f aca="false">IFERROR(TRIM(INDEX(Process!$D$2:$D$230,MATCH(C50,Process!$A$2:$A$230,0))),"not found")</f>
        <v>Employment cost comparison</v>
      </c>
      <c r="E50" s="24" t="s">
        <v>397</v>
      </c>
      <c r="F50" s="24" t="s">
        <v>1131</v>
      </c>
      <c r="G50" s="24" t="s">
        <v>1132</v>
      </c>
      <c r="H50" s="24" t="s">
        <v>1122</v>
      </c>
      <c r="I50" s="24" t="s">
        <v>1133</v>
      </c>
      <c r="J50" s="24" t="s">
        <v>1134</v>
      </c>
      <c r="K50" s="24" t="s">
        <v>1135</v>
      </c>
      <c r="L50" s="24" t="s">
        <v>658</v>
      </c>
      <c r="M50" s="24" t="s">
        <v>1114</v>
      </c>
    </row>
    <row r="51" customFormat="false" ht="23.85" hidden="false" customHeight="false" outlineLevel="0" collapsed="false">
      <c r="A51" s="24" t="s">
        <v>519</v>
      </c>
      <c r="B51" s="24" t="str">
        <f aca="false">IFERROR(TRIM(INDEX(Process!$D$2:$D$230,MATCH(A51,Process!$A$2:$A$230,0))),"not found")</f>
        <v>Benefits plan analysis</v>
      </c>
      <c r="C51" s="24" t="s">
        <v>523</v>
      </c>
      <c r="D51" s="25" t="str">
        <f aca="false">IFERROR(TRIM(INDEX(Process!$D$2:$D$230,MATCH(C51,Process!$A$2:$A$230,0))),"not found")</f>
        <v>Current benefits collection</v>
      </c>
      <c r="E51" s="24" t="s">
        <v>397</v>
      </c>
      <c r="F51" s="24" t="s">
        <v>1136</v>
      </c>
      <c r="G51" s="24" t="s">
        <v>1137</v>
      </c>
      <c r="H51" s="24" t="s">
        <v>1122</v>
      </c>
      <c r="I51" s="24" t="s">
        <v>1138</v>
      </c>
      <c r="J51" s="24" t="s">
        <v>1139</v>
      </c>
      <c r="K51" s="24" t="s">
        <v>1140</v>
      </c>
      <c r="L51" s="24" t="s">
        <v>940</v>
      </c>
      <c r="M51" s="24" t="s">
        <v>1114</v>
      </c>
    </row>
    <row r="52" customFormat="false" ht="23.85" hidden="false" customHeight="false" outlineLevel="0" collapsed="false">
      <c r="A52" s="24" t="s">
        <v>519</v>
      </c>
      <c r="B52" s="24" t="str">
        <f aca="false">IFERROR(TRIM(INDEX(Process!$D$2:$D$230,MATCH(A52,Process!$A$2:$A$230,0))),"not found")</f>
        <v>Benefits plan analysis</v>
      </c>
      <c r="C52" s="24" t="s">
        <v>527</v>
      </c>
      <c r="D52" s="25" t="str">
        <f aca="false">IFERROR(TRIM(INDEX(Process!$D$2:$D$230,MATCH(C52,Process!$A$2:$A$230,0))),"not found")</f>
        <v>Benefits plan comparison</v>
      </c>
      <c r="E52" s="24" t="s">
        <v>397</v>
      </c>
      <c r="F52" s="24" t="s">
        <v>1141</v>
      </c>
      <c r="G52" s="24" t="s">
        <v>1142</v>
      </c>
      <c r="H52" s="24" t="s">
        <v>1122</v>
      </c>
      <c r="I52" s="24" t="s">
        <v>1143</v>
      </c>
      <c r="J52" s="24" t="s">
        <v>1134</v>
      </c>
      <c r="K52" s="24" t="s">
        <v>1144</v>
      </c>
      <c r="L52" s="24" t="s">
        <v>666</v>
      </c>
      <c r="M52" s="24" t="s">
        <v>1114</v>
      </c>
    </row>
    <row r="53" customFormat="false" ht="23.85" hidden="false" customHeight="false" outlineLevel="0" collapsed="false">
      <c r="A53" s="5" t="s">
        <v>543</v>
      </c>
      <c r="B53" s="5" t="str">
        <f aca="false">IFERROR(TRIM(INDEX(Process!$D$2:$D$230,MATCH(A53,Process!$A$2:$A$230,0))),"not found")</f>
        <v>Manage sales orders</v>
      </c>
      <c r="C53" s="5" t="s">
        <v>546</v>
      </c>
      <c r="D53" s="4" t="str">
        <f aca="false">IFERROR(TRIM(INDEX(Process!$D$2:$D$230,MATCH(C53,Process!$A$2:$A$230,0))),"not found")</f>
        <v>Accept and validate sales orders</v>
      </c>
      <c r="E53" s="5" t="s">
        <v>549</v>
      </c>
      <c r="F53" s="5" t="s">
        <v>985</v>
      </c>
      <c r="G53" s="5" t="s">
        <v>990</v>
      </c>
      <c r="H53" s="5" t="s">
        <v>732</v>
      </c>
      <c r="I53" s="5" t="s">
        <v>1145</v>
      </c>
      <c r="J53" s="5" t="s">
        <v>1146</v>
      </c>
      <c r="K53" s="5" t="s">
        <v>1147</v>
      </c>
      <c r="L53" s="5" t="s">
        <v>649</v>
      </c>
      <c r="M53" s="5"/>
    </row>
    <row r="54" customFormat="false" ht="23.85" hidden="false" customHeight="false" outlineLevel="0" collapsed="false">
      <c r="A54" s="5" t="s">
        <v>543</v>
      </c>
      <c r="B54" s="5" t="str">
        <f aca="false">IFERROR(TRIM(INDEX(Process!$D$2:$D$230,MATCH(A54,Process!$A$2:$A$230,0))),"not found")</f>
        <v>Manage sales orders</v>
      </c>
      <c r="C54" s="5" t="s">
        <v>550</v>
      </c>
      <c r="D54" s="4" t="str">
        <f aca="false">IFERROR(TRIM(INDEX(Process!$D$2:$D$230,MATCH(C54,Process!$A$2:$A$230,0))),"not found")</f>
        <v>Collect and maintain account information</v>
      </c>
      <c r="E54" s="5" t="s">
        <v>549</v>
      </c>
      <c r="F54" s="5" t="s">
        <v>1148</v>
      </c>
      <c r="G54" s="5" t="s">
        <v>1149</v>
      </c>
      <c r="H54" s="5" t="s">
        <v>732</v>
      </c>
      <c r="I54" s="5" t="s">
        <v>1150</v>
      </c>
      <c r="J54" s="5" t="s">
        <v>1151</v>
      </c>
      <c r="K54" s="5" t="s">
        <v>1152</v>
      </c>
      <c r="L54" s="5" t="s">
        <v>649</v>
      </c>
      <c r="M54" s="5"/>
    </row>
    <row r="55" customFormat="false" ht="23.85" hidden="false" customHeight="false" outlineLevel="0" collapsed="false">
      <c r="A55" s="5" t="s">
        <v>543</v>
      </c>
      <c r="B55" s="5" t="str">
        <f aca="false">IFERROR(TRIM(INDEX(Process!$D$2:$D$230,MATCH(A55,Process!$A$2:$A$230,0))),"not found")</f>
        <v>Manage sales orders</v>
      </c>
      <c r="C55" s="5" t="s">
        <v>572</v>
      </c>
      <c r="D55" s="4" t="str">
        <f aca="false">IFERROR(TRIM(INDEX(Process!$D$2:$D$230,MATCH(C55,Process!$A$2:$A$230,0))),"not found")</f>
        <v>Determine fulfillment process</v>
      </c>
      <c r="E55" s="5" t="s">
        <v>549</v>
      </c>
      <c r="F55" s="5" t="s">
        <v>1153</v>
      </c>
      <c r="G55" s="5" t="s">
        <v>1154</v>
      </c>
      <c r="H55" s="5" t="s">
        <v>1155</v>
      </c>
      <c r="I55" s="5" t="s">
        <v>1156</v>
      </c>
      <c r="J55" s="5" t="s">
        <v>826</v>
      </c>
      <c r="K55" s="5" t="s">
        <v>1157</v>
      </c>
      <c r="L55" s="5" t="s">
        <v>828</v>
      </c>
      <c r="M55" s="5"/>
    </row>
    <row r="56" customFormat="false" ht="23.85" hidden="false" customHeight="false" outlineLevel="0" collapsed="false">
      <c r="A56" s="5" t="s">
        <v>543</v>
      </c>
      <c r="B56" s="5" t="str">
        <f aca="false">IFERROR(TRIM(INDEX(Process!$D$2:$D$230,MATCH(A56,Process!$A$2:$A$230,0))),"not found")</f>
        <v>Manage sales orders</v>
      </c>
      <c r="C56" s="5" t="s">
        <v>575</v>
      </c>
      <c r="D56" s="4" t="str">
        <f aca="false">IFERROR(TRIM(INDEX(Process!$D$2:$D$230,MATCH(C56,Process!$A$2:$A$230,0))),"not found")</f>
        <v>Enter orders into system</v>
      </c>
      <c r="E56" s="5" t="s">
        <v>549</v>
      </c>
      <c r="F56" s="5" t="s">
        <v>1158</v>
      </c>
      <c r="G56" s="5" t="s">
        <v>1159</v>
      </c>
      <c r="H56" s="5" t="s">
        <v>732</v>
      </c>
      <c r="I56" s="5" t="s">
        <v>1160</v>
      </c>
      <c r="J56" s="5" t="s">
        <v>1161</v>
      </c>
      <c r="K56" s="5" t="s">
        <v>1162</v>
      </c>
      <c r="L56" s="5" t="s">
        <v>649</v>
      </c>
      <c r="M56" s="5"/>
    </row>
    <row r="57" customFormat="false" ht="23.85" hidden="false" customHeight="false" outlineLevel="0" collapsed="false">
      <c r="A57" s="5" t="s">
        <v>543</v>
      </c>
      <c r="B57" s="5" t="str">
        <f aca="false">IFERROR(TRIM(INDEX(Process!$D$2:$D$230,MATCH(A57,Process!$A$2:$A$230,0))),"not found")</f>
        <v>Manage sales orders</v>
      </c>
      <c r="C57" s="5" t="s">
        <v>578</v>
      </c>
      <c r="D57" s="4" t="str">
        <f aca="false">IFERROR(TRIM(INDEX(Process!$D$2:$D$230,MATCH(C57,Process!$A$2:$A$230,0))),"not found")</f>
        <v>Identify/perform cross-sell/up-sell activity</v>
      </c>
      <c r="E57" s="5" t="s">
        <v>549</v>
      </c>
      <c r="F57" s="5" t="s">
        <v>1163</v>
      </c>
      <c r="G57" s="5" t="s">
        <v>1164</v>
      </c>
      <c r="H57" s="5" t="s">
        <v>1165</v>
      </c>
      <c r="I57" s="5" t="s">
        <v>1166</v>
      </c>
      <c r="J57" s="5" t="s">
        <v>1167</v>
      </c>
      <c r="K57" s="5" t="s">
        <v>1168</v>
      </c>
      <c r="L57" s="5" t="s">
        <v>940</v>
      </c>
      <c r="M57" s="5"/>
    </row>
    <row r="58" customFormat="false" ht="23.85" hidden="false" customHeight="false" outlineLevel="0" collapsed="false">
      <c r="A58" s="5" t="s">
        <v>543</v>
      </c>
      <c r="B58" s="5" t="str">
        <f aca="false">IFERROR(TRIM(INDEX(Process!$D$2:$D$230,MATCH(A58,Process!$A$2:$A$230,0))),"not found")</f>
        <v>Manage sales orders</v>
      </c>
      <c r="C58" s="5" t="s">
        <v>584</v>
      </c>
      <c r="D58" s="4" t="str">
        <f aca="false">IFERROR(TRIM(INDEX(Process!$D$2:$D$230,MATCH(C58,Process!$A$2:$A$230,0))),"not found")</f>
        <v>Handle sales order inquiries including post-order fulfillment transactions</v>
      </c>
      <c r="E58" s="5" t="s">
        <v>549</v>
      </c>
      <c r="F58" s="5" t="s">
        <v>1169</v>
      </c>
      <c r="G58" s="5" t="s">
        <v>1170</v>
      </c>
      <c r="H58" s="5" t="s">
        <v>732</v>
      </c>
      <c r="I58" s="5" t="s">
        <v>1171</v>
      </c>
      <c r="J58" s="5" t="s">
        <v>1025</v>
      </c>
      <c r="K58" s="5" t="s">
        <v>1172</v>
      </c>
      <c r="L58" s="5" t="s">
        <v>1173</v>
      </c>
      <c r="M58" s="5"/>
    </row>
    <row r="59" customFormat="false" ht="23.85" hidden="false" customHeight="false" outlineLevel="0" collapsed="false">
      <c r="A59" s="5" t="s">
        <v>543</v>
      </c>
      <c r="B59" s="5" t="str">
        <f aca="false">IFERROR(TRIM(INDEX(Process!$D$2:$D$230,MATCH(A59,Process!$A$2:$A$230,0))),"not found")</f>
        <v>Manage sales orders</v>
      </c>
      <c r="C59" s="5" t="s">
        <v>586</v>
      </c>
      <c r="D59" s="4" t="str">
        <f aca="false">IFERROR(TRIM(INDEX(Process!$D$2:$D$230,MATCH(C59,Process!$A$2:$A$230,0))),"not found")</f>
        <v>Hand off the client to implementation</v>
      </c>
      <c r="E59" s="5" t="s">
        <v>549</v>
      </c>
      <c r="F59" s="5" t="s">
        <v>1174</v>
      </c>
      <c r="G59" s="5" t="s">
        <v>1175</v>
      </c>
      <c r="H59" s="5" t="s">
        <v>648</v>
      </c>
      <c r="I59" s="5" t="s">
        <v>1176</v>
      </c>
      <c r="J59" s="5" t="s">
        <v>1177</v>
      </c>
      <c r="K59" s="5" t="s">
        <v>1178</v>
      </c>
      <c r="L59" s="5" t="s">
        <v>828</v>
      </c>
      <c r="M59" s="5"/>
    </row>
    <row r="60" customFormat="false" ht="23.85" hidden="false" customHeight="false" outlineLevel="0" collapsed="false">
      <c r="A60" s="5" t="s">
        <v>609</v>
      </c>
      <c r="B60" s="5" t="str">
        <f aca="false">IFERROR(TRIM(INDEX(Process!$D$2:$D$230,MATCH(A60,Process!$A$2:$A$230,0))),"not found")</f>
        <v>Sales incentive calculation</v>
      </c>
      <c r="C60" s="5" t="s">
        <v>613</v>
      </c>
      <c r="D60" s="4" t="str">
        <f aca="false">IFERROR(TRIM(INDEX(Process!$D$2:$D$230,MATCH(C60,Process!$A$2:$A$230,0))),"not found")</f>
        <v>Commission calculation</v>
      </c>
      <c r="E60" s="5"/>
      <c r="F60" s="5" t="s">
        <v>1179</v>
      </c>
      <c r="G60" s="5" t="s">
        <v>1180</v>
      </c>
      <c r="H60" s="5" t="s">
        <v>1181</v>
      </c>
      <c r="I60" s="5" t="s">
        <v>1182</v>
      </c>
      <c r="J60" s="5" t="s">
        <v>1183</v>
      </c>
      <c r="K60" s="5" t="s">
        <v>1184</v>
      </c>
      <c r="L60" s="5" t="s">
        <v>733</v>
      </c>
      <c r="M60" s="5"/>
    </row>
    <row r="61" customFormat="false" ht="15" hidden="false" customHeight="false" outlineLevel="0" collapsed="false">
      <c r="A61" s="5" t="s">
        <v>609</v>
      </c>
      <c r="B61" s="5" t="str">
        <f aca="false">IFERROR(TRIM(INDEX(Process!$D$2:$D$230,MATCH(A61,Process!$A$2:$A$230,0))),"not found")</f>
        <v>Sales incentive calculation</v>
      </c>
      <c r="C61" s="5" t="s">
        <v>616</v>
      </c>
      <c r="D61" s="4" t="str">
        <f aca="false">IFERROR(TRIM(INDEX(Process!$D$2:$D$230,MATCH(C61,Process!$A$2:$A$230,0))),"not found")</f>
        <v>Incentive dispute handling</v>
      </c>
      <c r="E61" s="5"/>
      <c r="F61" s="5" t="s">
        <v>1185</v>
      </c>
      <c r="G61" s="5" t="s">
        <v>1186</v>
      </c>
      <c r="H61" s="5" t="s">
        <v>732</v>
      </c>
      <c r="I61" s="5" t="s">
        <v>1187</v>
      </c>
      <c r="J61" s="5" t="s">
        <v>648</v>
      </c>
      <c r="K61" s="5" t="s">
        <v>1188</v>
      </c>
      <c r="L61" s="5" t="s">
        <v>733</v>
      </c>
      <c r="M61" s="5"/>
    </row>
    <row r="62" customFormat="false" ht="23.85" hidden="false" customHeight="false" outlineLevel="0" collapsed="false">
      <c r="A62" s="5" t="s">
        <v>619</v>
      </c>
      <c r="B62" s="5" t="str">
        <f aca="false">IFERROR(TRIM(INDEX(Process!$D$2:$D$230,MATCH(A62,Process!$A$2:$A$230,0))),"not found")</f>
        <v>Seller enablement</v>
      </c>
      <c r="C62" s="5" t="s">
        <v>623</v>
      </c>
      <c r="D62" s="4" t="str">
        <f aca="false">IFERROR(TRIM(INDEX(Process!$D$2:$D$230,MATCH(C62,Process!$A$2:$A$230,0))),"not found")</f>
        <v>Seller onboarding and training</v>
      </c>
      <c r="E62" s="5"/>
      <c r="F62" s="5" t="s">
        <v>1189</v>
      </c>
      <c r="G62" s="5" t="s">
        <v>1190</v>
      </c>
      <c r="H62" s="5" t="s">
        <v>757</v>
      </c>
      <c r="I62" s="5" t="s">
        <v>1191</v>
      </c>
      <c r="J62" s="5" t="s">
        <v>1192</v>
      </c>
      <c r="K62" s="5" t="s">
        <v>1193</v>
      </c>
      <c r="L62" s="5" t="s">
        <v>758</v>
      </c>
      <c r="M62" s="5"/>
    </row>
    <row r="63" customFormat="false" ht="23.85" hidden="false" customHeight="false" outlineLevel="0" collapsed="false">
      <c r="A63" s="5" t="s">
        <v>619</v>
      </c>
      <c r="B63" s="5" t="str">
        <f aca="false">IFERROR(TRIM(INDEX(Process!$D$2:$D$230,MATCH(A63,Process!$A$2:$A$230,0))),"not found")</f>
        <v>Seller enablement</v>
      </c>
      <c r="C63" s="5" t="s">
        <v>626</v>
      </c>
      <c r="D63" s="4" t="str">
        <f aca="false">IFERROR(TRIM(INDEX(Process!$D$2:$D$230,MATCH(C63,Process!$A$2:$A$230,0))),"not found")</f>
        <v>Offering certification</v>
      </c>
      <c r="E63" s="5"/>
      <c r="F63" s="5" t="s">
        <v>1194</v>
      </c>
      <c r="G63" s="5" t="s">
        <v>1195</v>
      </c>
      <c r="H63" s="5" t="s">
        <v>757</v>
      </c>
      <c r="I63" s="5" t="s">
        <v>1196</v>
      </c>
      <c r="J63" s="5" t="s">
        <v>943</v>
      </c>
      <c r="K63" s="5" t="s">
        <v>1197</v>
      </c>
      <c r="L63" s="5" t="s">
        <v>758</v>
      </c>
      <c r="M63" s="5"/>
    </row>
  </sheetData>
  <autoFilter ref="A1:M6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4"/>
    <col collapsed="false" customWidth="true" hidden="false" outlineLevel="0" max="3" min="3" style="0" width="14"/>
    <col collapsed="false" customWidth="true" hidden="false" outlineLevel="0" max="4" min="4" style="0" width="18"/>
    <col collapsed="false" customWidth="true" hidden="false" outlineLevel="0" max="5" min="5" style="0" width="20"/>
    <col collapsed="false" customWidth="true" hidden="false" outlineLevel="0" max="6" min="6" style="0" width="90"/>
  </cols>
  <sheetData>
    <row r="1" customFormat="false" ht="30" hidden="false" customHeight="true" outlineLevel="0" collapsed="false">
      <c r="A1" s="6" t="s">
        <v>1198</v>
      </c>
      <c r="B1" s="6" t="s">
        <v>1199</v>
      </c>
      <c r="C1" s="6" t="s">
        <v>1200</v>
      </c>
      <c r="D1" s="6" t="s">
        <v>1201</v>
      </c>
      <c r="E1" s="6" t="s">
        <v>1202</v>
      </c>
      <c r="F1" s="6" t="s">
        <v>1203</v>
      </c>
    </row>
    <row r="2" customFormat="false" ht="15" hidden="false" customHeight="false" outlineLevel="0" collapsed="false">
      <c r="A2" s="5" t="s">
        <v>651</v>
      </c>
      <c r="B2" s="5" t="s">
        <v>644</v>
      </c>
      <c r="C2" s="5" t="s">
        <v>35</v>
      </c>
      <c r="D2" s="5" t="s">
        <v>35</v>
      </c>
      <c r="E2" s="5" t="s">
        <v>642</v>
      </c>
      <c r="F2" s="5" t="s">
        <v>1204</v>
      </c>
    </row>
    <row r="3" customFormat="false" ht="15" hidden="false" customHeight="false" outlineLevel="0" collapsed="false">
      <c r="A3" s="5" t="s">
        <v>661</v>
      </c>
      <c r="B3" s="5" t="s">
        <v>653</v>
      </c>
      <c r="C3" s="5" t="s">
        <v>35</v>
      </c>
      <c r="D3" s="5" t="s">
        <v>35</v>
      </c>
      <c r="E3" s="5" t="s">
        <v>652</v>
      </c>
      <c r="F3" s="5" t="s">
        <v>1205</v>
      </c>
    </row>
    <row r="4" customFormat="false" ht="15" hidden="false" customHeight="false" outlineLevel="0" collapsed="false">
      <c r="A4" s="5" t="s">
        <v>674</v>
      </c>
      <c r="B4" s="5" t="s">
        <v>1206</v>
      </c>
      <c r="C4" s="5" t="s">
        <v>35</v>
      </c>
      <c r="D4" s="5" t="s">
        <v>35</v>
      </c>
      <c r="E4" s="5" t="s">
        <v>669</v>
      </c>
      <c r="F4" s="5" t="s">
        <v>1207</v>
      </c>
    </row>
    <row r="5" customFormat="false" ht="15" hidden="false" customHeight="false" outlineLevel="0" collapsed="false">
      <c r="A5" s="5" t="s">
        <v>668</v>
      </c>
      <c r="B5" s="5" t="s">
        <v>663</v>
      </c>
      <c r="C5" s="5" t="s">
        <v>35</v>
      </c>
      <c r="D5" s="5" t="s">
        <v>35</v>
      </c>
      <c r="E5" s="5" t="s">
        <v>662</v>
      </c>
      <c r="F5" s="5" t="s">
        <v>1205</v>
      </c>
    </row>
    <row r="6" customFormat="false" ht="15" hidden="false" customHeight="false" outlineLevel="0" collapsed="false">
      <c r="A6" s="5" t="s">
        <v>682</v>
      </c>
      <c r="B6" s="5" t="s">
        <v>1208</v>
      </c>
      <c r="C6" s="5" t="s">
        <v>35</v>
      </c>
      <c r="D6" s="5" t="s">
        <v>35</v>
      </c>
      <c r="E6" s="5" t="s">
        <v>675</v>
      </c>
      <c r="F6" s="5" t="s">
        <v>1209</v>
      </c>
    </row>
    <row r="7" customFormat="false" ht="15" hidden="false" customHeight="false" outlineLevel="0" collapsed="false">
      <c r="A7" s="5" t="s">
        <v>687</v>
      </c>
      <c r="B7" s="5" t="s">
        <v>1210</v>
      </c>
      <c r="C7" s="5" t="s">
        <v>35</v>
      </c>
      <c r="D7" s="5" t="s">
        <v>35</v>
      </c>
      <c r="E7" s="5" t="s">
        <v>683</v>
      </c>
      <c r="F7" s="5" t="s">
        <v>1211</v>
      </c>
    </row>
    <row r="8" customFormat="false" ht="15" hidden="false" customHeight="false" outlineLevel="0" collapsed="false">
      <c r="A8" s="5" t="s">
        <v>1212</v>
      </c>
      <c r="B8" s="5" t="s">
        <v>1213</v>
      </c>
      <c r="C8" s="5" t="s">
        <v>35</v>
      </c>
      <c r="D8" s="5" t="s">
        <v>874</v>
      </c>
      <c r="E8" s="5" t="s">
        <v>385</v>
      </c>
      <c r="F8" s="5" t="s">
        <v>1214</v>
      </c>
    </row>
    <row r="9" customFormat="false" ht="15" hidden="false" customHeight="false" outlineLevel="0" collapsed="false">
      <c r="A9" s="5" t="s">
        <v>1215</v>
      </c>
      <c r="B9" s="5" t="s">
        <v>1216</v>
      </c>
      <c r="C9" s="5" t="s">
        <v>35</v>
      </c>
      <c r="D9" s="5" t="s">
        <v>1217</v>
      </c>
      <c r="E9" s="5" t="s">
        <v>387</v>
      </c>
      <c r="F9" s="5" t="s">
        <v>1218</v>
      </c>
    </row>
    <row r="10" customFormat="false" ht="15" hidden="false" customHeight="false" outlineLevel="0" collapsed="false">
      <c r="A10" s="5" t="s">
        <v>1219</v>
      </c>
      <c r="B10" s="5" t="s">
        <v>1220</v>
      </c>
      <c r="C10" s="5" t="s">
        <v>35</v>
      </c>
      <c r="D10" s="5" t="s">
        <v>874</v>
      </c>
      <c r="E10" s="5" t="s">
        <v>398</v>
      </c>
      <c r="F10" s="5" t="s">
        <v>1221</v>
      </c>
    </row>
    <row r="11" customFormat="false" ht="15" hidden="false" customHeight="false" outlineLevel="0" collapsed="false">
      <c r="A11" s="5" t="s">
        <v>1222</v>
      </c>
      <c r="B11" s="5" t="s">
        <v>1223</v>
      </c>
      <c r="C11" s="5" t="s">
        <v>35</v>
      </c>
      <c r="D11" s="5" t="s">
        <v>37</v>
      </c>
      <c r="E11" s="5" t="s">
        <v>314</v>
      </c>
      <c r="F11" s="5" t="s">
        <v>1224</v>
      </c>
    </row>
    <row r="12" customFormat="false" ht="15" hidden="false" customHeight="false" outlineLevel="0" collapsed="false">
      <c r="A12" s="5" t="s">
        <v>727</v>
      </c>
      <c r="B12" s="5" t="s">
        <v>1225</v>
      </c>
      <c r="C12" s="5" t="s">
        <v>35</v>
      </c>
      <c r="D12" s="5" t="s">
        <v>35</v>
      </c>
      <c r="E12" s="5" t="s">
        <v>720</v>
      </c>
      <c r="F12" s="5" t="s">
        <v>1226</v>
      </c>
    </row>
    <row r="13" customFormat="false" ht="23.85" hidden="false" customHeight="false" outlineLevel="0" collapsed="false">
      <c r="A13" s="5" t="s">
        <v>734</v>
      </c>
      <c r="B13" s="5" t="s">
        <v>1227</v>
      </c>
      <c r="C13" s="5" t="s">
        <v>35</v>
      </c>
      <c r="D13" s="5" t="s">
        <v>35</v>
      </c>
      <c r="E13" s="5" t="s">
        <v>728</v>
      </c>
      <c r="F13" s="5" t="s">
        <v>1228</v>
      </c>
    </row>
    <row r="14" customFormat="false" ht="15" hidden="false" customHeight="false" outlineLevel="0" collapsed="false">
      <c r="A14" s="5" t="s">
        <v>739</v>
      </c>
      <c r="B14" s="5" t="s">
        <v>1229</v>
      </c>
      <c r="C14" s="5" t="s">
        <v>35</v>
      </c>
      <c r="D14" s="5" t="s">
        <v>35</v>
      </c>
      <c r="E14" s="5" t="s">
        <v>735</v>
      </c>
      <c r="F14" s="5" t="s">
        <v>1230</v>
      </c>
    </row>
    <row r="15" customFormat="false" ht="23.85" hidden="false" customHeight="false" outlineLevel="0" collapsed="false">
      <c r="A15" s="5" t="s">
        <v>1231</v>
      </c>
      <c r="B15" s="5" t="s">
        <v>1232</v>
      </c>
      <c r="C15" s="5" t="s">
        <v>35</v>
      </c>
      <c r="D15" s="5" t="s">
        <v>1233</v>
      </c>
      <c r="E15" s="5" t="s">
        <v>966</v>
      </c>
      <c r="F15" s="5" t="s">
        <v>1234</v>
      </c>
    </row>
    <row r="16" customFormat="false" ht="23.85" hidden="false" customHeight="false" outlineLevel="0" collapsed="false">
      <c r="A16" s="5" t="s">
        <v>746</v>
      </c>
      <c r="B16" s="5" t="s">
        <v>1235</v>
      </c>
      <c r="C16" s="5" t="s">
        <v>35</v>
      </c>
      <c r="D16" s="5" t="s">
        <v>35</v>
      </c>
      <c r="E16" s="5" t="s">
        <v>740</v>
      </c>
      <c r="F16" s="5" t="s">
        <v>1236</v>
      </c>
    </row>
    <row r="17" customFormat="false" ht="15" hidden="false" customHeight="false" outlineLevel="0" collapsed="false">
      <c r="A17" s="5" t="s">
        <v>760</v>
      </c>
      <c r="B17" s="5" t="s">
        <v>1237</v>
      </c>
      <c r="C17" s="5" t="s">
        <v>35</v>
      </c>
      <c r="D17" s="5" t="s">
        <v>35</v>
      </c>
      <c r="E17" s="5" t="s">
        <v>753</v>
      </c>
      <c r="F17" s="5" t="s">
        <v>1238</v>
      </c>
    </row>
    <row r="18" customFormat="false" ht="23.85" hidden="false" customHeight="false" outlineLevel="0" collapsed="false">
      <c r="A18" s="5" t="s">
        <v>766</v>
      </c>
      <c r="B18" s="5" t="s">
        <v>940</v>
      </c>
      <c r="C18" s="5" t="s">
        <v>35</v>
      </c>
      <c r="D18" s="5" t="s">
        <v>1233</v>
      </c>
      <c r="E18" s="5" t="s">
        <v>940</v>
      </c>
      <c r="F18" s="5" t="s">
        <v>1239</v>
      </c>
    </row>
    <row r="19" customFormat="false" ht="15" hidden="false" customHeight="false" outlineLevel="0" collapsed="false">
      <c r="A19" s="5" t="s">
        <v>781</v>
      </c>
      <c r="B19" s="5" t="s">
        <v>1240</v>
      </c>
      <c r="C19" s="5" t="s">
        <v>35</v>
      </c>
      <c r="D19" s="5" t="s">
        <v>874</v>
      </c>
      <c r="E19" s="5" t="s">
        <v>268</v>
      </c>
      <c r="F19" s="5" t="s">
        <v>1241</v>
      </c>
    </row>
    <row r="20" customFormat="false" ht="15" hidden="false" customHeight="false" outlineLevel="0" collapsed="false">
      <c r="A20" s="5" t="s">
        <v>773</v>
      </c>
      <c r="B20" s="5" t="s">
        <v>1242</v>
      </c>
      <c r="C20" s="5" t="s">
        <v>35</v>
      </c>
      <c r="D20" s="5" t="s">
        <v>35</v>
      </c>
      <c r="E20" s="5" t="s">
        <v>1243</v>
      </c>
      <c r="F20" s="5" t="s">
        <v>1244</v>
      </c>
    </row>
    <row r="21" customFormat="false" ht="15" hidden="false" customHeight="false" outlineLevel="0" collapsed="false">
      <c r="A21" s="5" t="s">
        <v>1245</v>
      </c>
      <c r="B21" s="5" t="s">
        <v>1246</v>
      </c>
      <c r="C21" s="5" t="s">
        <v>35</v>
      </c>
      <c r="D21" s="5" t="s">
        <v>37</v>
      </c>
      <c r="E21" s="5" t="s">
        <v>491</v>
      </c>
      <c r="F21" s="5" t="s">
        <v>1247</v>
      </c>
    </row>
    <row r="22" customFormat="false" ht="15" hidden="false" customHeight="false" outlineLevel="0" collapsed="false">
      <c r="A22" s="5" t="s">
        <v>1248</v>
      </c>
      <c r="B22" s="5" t="s">
        <v>795</v>
      </c>
      <c r="C22" s="5" t="s">
        <v>35</v>
      </c>
      <c r="D22" s="5" t="s">
        <v>35</v>
      </c>
      <c r="E22" s="5" t="s">
        <v>794</v>
      </c>
      <c r="F22" s="5" t="s">
        <v>1249</v>
      </c>
    </row>
    <row r="23" customFormat="false" ht="15" hidden="false" customHeight="false" outlineLevel="0" collapsed="false">
      <c r="A23" s="5" t="s">
        <v>806</v>
      </c>
      <c r="B23" s="5" t="s">
        <v>1250</v>
      </c>
      <c r="C23" s="5" t="s">
        <v>35</v>
      </c>
      <c r="D23" s="5" t="s">
        <v>35</v>
      </c>
      <c r="E23" s="5" t="s">
        <v>801</v>
      </c>
      <c r="F23" s="5" t="s">
        <v>1251</v>
      </c>
    </row>
    <row r="24" customFormat="false" ht="23.85" hidden="false" customHeight="false" outlineLevel="0" collapsed="false">
      <c r="A24" s="5" t="s">
        <v>695</v>
      </c>
      <c r="B24" s="5" t="s">
        <v>1252</v>
      </c>
      <c r="C24" s="5" t="s">
        <v>35</v>
      </c>
      <c r="D24" s="5" t="s">
        <v>1253</v>
      </c>
      <c r="E24" s="5" t="s">
        <v>423</v>
      </c>
      <c r="F24" s="5" t="s">
        <v>1254</v>
      </c>
    </row>
    <row r="25" customFormat="false" ht="15" hidden="false" customHeight="false" outlineLevel="0" collapsed="false">
      <c r="A25" s="5" t="s">
        <v>813</v>
      </c>
      <c r="B25" s="5" t="s">
        <v>808</v>
      </c>
      <c r="C25" s="5" t="s">
        <v>35</v>
      </c>
      <c r="D25" s="5" t="s">
        <v>35</v>
      </c>
      <c r="E25" s="5" t="s">
        <v>807</v>
      </c>
      <c r="F25" s="5" t="s">
        <v>1204</v>
      </c>
    </row>
    <row r="26" customFormat="false" ht="15" hidden="false" customHeight="false" outlineLevel="0" collapsed="false">
      <c r="A26" s="5" t="s">
        <v>821</v>
      </c>
      <c r="B26" s="5" t="s">
        <v>1255</v>
      </c>
      <c r="C26" s="5" t="s">
        <v>35</v>
      </c>
      <c r="D26" s="5" t="s">
        <v>874</v>
      </c>
      <c r="E26" s="5" t="s">
        <v>606</v>
      </c>
      <c r="F26" s="5" t="s">
        <v>1256</v>
      </c>
    </row>
    <row r="27" customFormat="false" ht="15" hidden="false" customHeight="false" outlineLevel="0" collapsed="false">
      <c r="A27" s="5" t="s">
        <v>829</v>
      </c>
      <c r="B27" s="5" t="s">
        <v>1257</v>
      </c>
      <c r="C27" s="5" t="s">
        <v>35</v>
      </c>
      <c r="D27" s="5" t="s">
        <v>874</v>
      </c>
      <c r="E27" s="5" t="s">
        <v>586</v>
      </c>
      <c r="F27" s="5" t="s">
        <v>1258</v>
      </c>
    </row>
    <row r="28" customFormat="false" ht="15" hidden="false" customHeight="false" outlineLevel="0" collapsed="false">
      <c r="A28" s="5" t="s">
        <v>1259</v>
      </c>
      <c r="B28" s="5" t="s">
        <v>1260</v>
      </c>
      <c r="C28" s="5" t="s">
        <v>37</v>
      </c>
      <c r="D28" s="5" t="s">
        <v>65</v>
      </c>
      <c r="E28" s="5" t="s">
        <v>379</v>
      </c>
      <c r="F28" s="5" t="s">
        <v>1261</v>
      </c>
    </row>
    <row r="29" customFormat="false" ht="23.85" hidden="false" customHeight="false" outlineLevel="0" collapsed="false">
      <c r="A29" s="5" t="s">
        <v>1262</v>
      </c>
      <c r="B29" s="5" t="s">
        <v>1263</v>
      </c>
      <c r="C29" s="5" t="s">
        <v>54</v>
      </c>
      <c r="D29" s="5" t="s">
        <v>1264</v>
      </c>
      <c r="E29" s="5" t="s">
        <v>1265</v>
      </c>
      <c r="F29" s="5" t="s">
        <v>1266</v>
      </c>
    </row>
    <row r="30" customFormat="false" ht="15" hidden="false" customHeight="false" outlineLevel="0" collapsed="false">
      <c r="A30" s="5" t="s">
        <v>1267</v>
      </c>
      <c r="B30" s="5" t="s">
        <v>1268</v>
      </c>
      <c r="C30" s="5" t="s">
        <v>1269</v>
      </c>
      <c r="D30" s="5" t="s">
        <v>874</v>
      </c>
      <c r="E30" s="5" t="s">
        <v>383</v>
      </c>
      <c r="F30" s="5"/>
    </row>
    <row r="31" customFormat="false" ht="15" hidden="false" customHeight="false" outlineLevel="0" collapsed="false">
      <c r="A31" s="5" t="s">
        <v>1270</v>
      </c>
      <c r="B31" s="5" t="s">
        <v>1271</v>
      </c>
      <c r="C31" s="5" t="s">
        <v>1269</v>
      </c>
      <c r="D31" s="5" t="s">
        <v>874</v>
      </c>
      <c r="E31" s="5" t="s">
        <v>406</v>
      </c>
      <c r="F31" s="5"/>
    </row>
    <row r="32" customFormat="false" ht="15" hidden="false" customHeight="false" outlineLevel="0" collapsed="false">
      <c r="A32" s="5" t="s">
        <v>1272</v>
      </c>
      <c r="B32" s="5" t="s">
        <v>1273</v>
      </c>
      <c r="C32" s="5" t="s">
        <v>1269</v>
      </c>
      <c r="D32" s="5" t="s">
        <v>874</v>
      </c>
      <c r="E32" s="5" t="s">
        <v>385</v>
      </c>
      <c r="F32" s="5"/>
    </row>
    <row r="33" customFormat="false" ht="15" hidden="false" customHeight="false" outlineLevel="0" collapsed="false">
      <c r="A33" s="5" t="s">
        <v>1274</v>
      </c>
      <c r="B33" s="5" t="s">
        <v>1275</v>
      </c>
      <c r="C33" s="5" t="s">
        <v>1269</v>
      </c>
      <c r="D33" s="5" t="s">
        <v>874</v>
      </c>
      <c r="E33" s="5" t="s">
        <v>411</v>
      </c>
      <c r="F33" s="5"/>
    </row>
    <row r="34" customFormat="false" ht="15" hidden="false" customHeight="false" outlineLevel="0" collapsed="false">
      <c r="A34" s="5" t="s">
        <v>1276</v>
      </c>
      <c r="B34" s="5" t="s">
        <v>1277</v>
      </c>
      <c r="C34" s="5" t="s">
        <v>1269</v>
      </c>
      <c r="D34" s="5" t="s">
        <v>1278</v>
      </c>
      <c r="E34" s="5" t="s">
        <v>413</v>
      </c>
      <c r="F34" s="5" t="s">
        <v>1279</v>
      </c>
    </row>
    <row r="35" customFormat="false" ht="15" hidden="false" customHeight="false" outlineLevel="0" collapsed="false">
      <c r="A35" s="5" t="s">
        <v>1280</v>
      </c>
      <c r="B35" s="5" t="s">
        <v>1281</v>
      </c>
      <c r="C35" s="5" t="s">
        <v>1269</v>
      </c>
      <c r="D35" s="5" t="s">
        <v>874</v>
      </c>
      <c r="E35" s="5" t="s">
        <v>387</v>
      </c>
      <c r="F35" s="5"/>
    </row>
    <row r="36" customFormat="false" ht="15" hidden="false" customHeight="false" outlineLevel="0" collapsed="false">
      <c r="A36" s="5" t="s">
        <v>1282</v>
      </c>
      <c r="B36" s="5" t="s">
        <v>1283</v>
      </c>
      <c r="C36" s="5" t="s">
        <v>1269</v>
      </c>
      <c r="D36" s="5" t="s">
        <v>874</v>
      </c>
      <c r="E36" s="5" t="s">
        <v>390</v>
      </c>
      <c r="F36" s="5" t="s">
        <v>1284</v>
      </c>
    </row>
    <row r="37" customFormat="false" ht="15" hidden="false" customHeight="false" outlineLevel="0" collapsed="false">
      <c r="A37" s="5" t="s">
        <v>1285</v>
      </c>
      <c r="B37" s="5" t="s">
        <v>1286</v>
      </c>
      <c r="C37" s="5" t="s">
        <v>1269</v>
      </c>
      <c r="D37" s="5" t="s">
        <v>1287</v>
      </c>
      <c r="E37" s="5" t="s">
        <v>387</v>
      </c>
      <c r="F37" s="5" t="s">
        <v>1288</v>
      </c>
    </row>
    <row r="38" customFormat="false" ht="15" hidden="false" customHeight="false" outlineLevel="0" collapsed="false">
      <c r="A38" s="5" t="s">
        <v>1289</v>
      </c>
      <c r="B38" s="5" t="s">
        <v>1290</v>
      </c>
      <c r="C38" s="5" t="s">
        <v>1269</v>
      </c>
      <c r="D38" s="5" t="s">
        <v>874</v>
      </c>
      <c r="E38" s="5" t="s">
        <v>408</v>
      </c>
      <c r="F38" s="5"/>
    </row>
    <row r="39" customFormat="false" ht="15" hidden="false" customHeight="false" outlineLevel="0" collapsed="false">
      <c r="A39" s="5" t="s">
        <v>1291</v>
      </c>
      <c r="B39" s="5" t="s">
        <v>854</v>
      </c>
      <c r="C39" s="5" t="s">
        <v>1269</v>
      </c>
      <c r="D39" s="5" t="s">
        <v>37</v>
      </c>
      <c r="E39" s="5" t="s">
        <v>491</v>
      </c>
      <c r="F39" s="5" t="s">
        <v>1292</v>
      </c>
    </row>
    <row r="40" customFormat="false" ht="15" hidden="false" customHeight="false" outlineLevel="0" collapsed="false">
      <c r="A40" s="5" t="s">
        <v>1293</v>
      </c>
      <c r="B40" s="5" t="s">
        <v>1294</v>
      </c>
      <c r="C40" s="5" t="s">
        <v>1269</v>
      </c>
      <c r="D40" s="5" t="s">
        <v>37</v>
      </c>
      <c r="E40" s="5" t="s">
        <v>503</v>
      </c>
      <c r="F40" s="5" t="s">
        <v>1295</v>
      </c>
    </row>
    <row r="41" customFormat="false" ht="15" hidden="false" customHeight="false" outlineLevel="0" collapsed="false">
      <c r="A41" s="5" t="s">
        <v>1296</v>
      </c>
      <c r="B41" s="5" t="s">
        <v>1297</v>
      </c>
      <c r="C41" s="5" t="s">
        <v>1269</v>
      </c>
      <c r="D41" s="5" t="s">
        <v>37</v>
      </c>
      <c r="E41" s="5" t="s">
        <v>519</v>
      </c>
      <c r="F41" s="5" t="s">
        <v>1292</v>
      </c>
    </row>
    <row r="42" customFormat="false" ht="15" hidden="false" customHeight="false" outlineLevel="0" collapsed="false">
      <c r="A42" s="5" t="s">
        <v>1298</v>
      </c>
      <c r="B42" s="5" t="s">
        <v>1054</v>
      </c>
      <c r="C42" s="5" t="s">
        <v>1269</v>
      </c>
      <c r="D42" s="5" t="s">
        <v>874</v>
      </c>
      <c r="E42" s="5" t="s">
        <v>462</v>
      </c>
      <c r="F42" s="5"/>
    </row>
    <row r="43" customFormat="false" ht="15" hidden="false" customHeight="false" outlineLevel="0" collapsed="false">
      <c r="A43" s="5" t="s">
        <v>1299</v>
      </c>
      <c r="B43" s="5" t="s">
        <v>1300</v>
      </c>
      <c r="C43" s="5" t="s">
        <v>1269</v>
      </c>
      <c r="D43" s="5" t="s">
        <v>874</v>
      </c>
      <c r="E43" s="5" t="s">
        <v>534</v>
      </c>
      <c r="F43" s="5" t="s">
        <v>1301</v>
      </c>
    </row>
    <row r="44" customFormat="false" ht="15" hidden="false" customHeight="false" outlineLevel="0" collapsed="false">
      <c r="A44" s="5" t="s">
        <v>1302</v>
      </c>
      <c r="B44" s="5" t="s">
        <v>1303</v>
      </c>
      <c r="C44" s="5" t="s">
        <v>1269</v>
      </c>
      <c r="D44" s="5" t="s">
        <v>874</v>
      </c>
      <c r="E44" s="5" t="s">
        <v>468</v>
      </c>
      <c r="F44" s="5"/>
    </row>
    <row r="45" customFormat="false" ht="15" hidden="false" customHeight="false" outlineLevel="0" collapsed="false">
      <c r="A45" s="5" t="s">
        <v>1304</v>
      </c>
      <c r="B45" s="5" t="s">
        <v>1305</v>
      </c>
      <c r="C45" s="5" t="s">
        <v>1269</v>
      </c>
      <c r="D45" s="5" t="s">
        <v>874</v>
      </c>
      <c r="E45" s="5" t="s">
        <v>485</v>
      </c>
      <c r="F45" s="5"/>
    </row>
    <row r="46" customFormat="false" ht="15" hidden="false" customHeight="false" outlineLevel="0" collapsed="false">
      <c r="A46" s="5" t="s">
        <v>1306</v>
      </c>
      <c r="B46" s="5" t="s">
        <v>1307</v>
      </c>
      <c r="C46" s="5" t="s">
        <v>1269</v>
      </c>
      <c r="D46" s="5" t="s">
        <v>874</v>
      </c>
      <c r="E46" s="5" t="s">
        <v>431</v>
      </c>
      <c r="F46" s="5"/>
    </row>
    <row r="47" customFormat="false" ht="15" hidden="false" customHeight="false" outlineLevel="0" collapsed="false">
      <c r="A47" s="5" t="s">
        <v>1308</v>
      </c>
      <c r="B47" s="5" t="s">
        <v>1309</v>
      </c>
      <c r="C47" s="5" t="s">
        <v>1269</v>
      </c>
      <c r="D47" s="5" t="s">
        <v>1278</v>
      </c>
      <c r="E47" s="5" t="s">
        <v>416</v>
      </c>
      <c r="F47" s="5"/>
    </row>
    <row r="48" customFormat="false" ht="15" hidden="false" customHeight="false" outlineLevel="0" collapsed="false">
      <c r="A48" s="5" t="s">
        <v>1310</v>
      </c>
      <c r="B48" s="5" t="s">
        <v>1311</v>
      </c>
      <c r="C48" s="5" t="s">
        <v>1269</v>
      </c>
      <c r="D48" s="5" t="s">
        <v>1287</v>
      </c>
      <c r="E48" s="5" t="s">
        <v>515</v>
      </c>
      <c r="F48" s="5" t="s">
        <v>1312</v>
      </c>
    </row>
    <row r="49" customFormat="false" ht="15" hidden="false" customHeight="false" outlineLevel="0" collapsed="false">
      <c r="A49" s="5" t="s">
        <v>1313</v>
      </c>
      <c r="B49" s="5" t="s">
        <v>1314</v>
      </c>
      <c r="C49" s="5" t="s">
        <v>1269</v>
      </c>
      <c r="D49" s="5" t="s">
        <v>1278</v>
      </c>
      <c r="E49" s="5" t="s">
        <v>420</v>
      </c>
      <c r="F49" s="5"/>
    </row>
    <row r="50" customFormat="false" ht="15" hidden="false" customHeight="false" outlineLevel="0" collapsed="false">
      <c r="A50" s="5" t="s">
        <v>1315</v>
      </c>
      <c r="B50" s="5" t="s">
        <v>1316</v>
      </c>
      <c r="C50" s="5" t="s">
        <v>1269</v>
      </c>
      <c r="D50" s="5" t="s">
        <v>874</v>
      </c>
      <c r="E50" s="5" t="s">
        <v>482</v>
      </c>
      <c r="F50" s="5"/>
    </row>
    <row r="51" customFormat="false" ht="15" hidden="false" customHeight="false" outlineLevel="0" collapsed="false">
      <c r="A51" s="5" t="s">
        <v>1317</v>
      </c>
      <c r="B51" s="5" t="s">
        <v>1318</v>
      </c>
      <c r="C51" s="5" t="s">
        <v>1269</v>
      </c>
      <c r="D51" s="5" t="s">
        <v>874</v>
      </c>
      <c r="E51" s="5" t="s">
        <v>434</v>
      </c>
      <c r="F51" s="5"/>
    </row>
    <row r="52" customFormat="false" ht="15" hidden="false" customHeight="false" outlineLevel="0" collapsed="false">
      <c r="A52" s="5" t="s">
        <v>1319</v>
      </c>
      <c r="B52" s="5" t="s">
        <v>1320</v>
      </c>
      <c r="C52" s="5" t="s">
        <v>1269</v>
      </c>
      <c r="D52" s="5" t="s">
        <v>874</v>
      </c>
      <c r="E52" s="5" t="s">
        <v>423</v>
      </c>
      <c r="F52" s="5"/>
    </row>
    <row r="53" customFormat="false" ht="15" hidden="false" customHeight="false" outlineLevel="0" collapsed="false">
      <c r="A53" s="5" t="s">
        <v>1321</v>
      </c>
      <c r="B53" s="5" t="s">
        <v>1322</v>
      </c>
      <c r="C53" s="5" t="s">
        <v>1269</v>
      </c>
      <c r="D53" s="5" t="s">
        <v>874</v>
      </c>
      <c r="E53" s="5" t="s">
        <v>426</v>
      </c>
      <c r="F53" s="5"/>
    </row>
    <row r="54" customFormat="false" ht="15" hidden="false" customHeight="false" outlineLevel="0" collapsed="false">
      <c r="A54" s="5" t="s">
        <v>1323</v>
      </c>
      <c r="B54" s="5" t="s">
        <v>1324</v>
      </c>
      <c r="C54" s="5" t="s">
        <v>1269</v>
      </c>
      <c r="D54" s="5" t="s">
        <v>874</v>
      </c>
      <c r="E54" s="5" t="s">
        <v>575</v>
      </c>
      <c r="F54" s="5"/>
    </row>
    <row r="55" customFormat="false" ht="15" hidden="false" customHeight="false" outlineLevel="0" collapsed="false">
      <c r="A55" s="5" t="s">
        <v>1325</v>
      </c>
      <c r="B55" s="5" t="s">
        <v>1326</v>
      </c>
      <c r="C55" s="5" t="s">
        <v>1269</v>
      </c>
      <c r="D55" s="5" t="s">
        <v>874</v>
      </c>
      <c r="E55" s="5" t="s">
        <v>586</v>
      </c>
      <c r="F55" s="5"/>
    </row>
    <row r="56" customFormat="false" ht="35.05" hidden="false" customHeight="false" outlineLevel="0" collapsed="false">
      <c r="A56" s="5" t="s">
        <v>1327</v>
      </c>
      <c r="B56" s="5" t="s">
        <v>1328</v>
      </c>
      <c r="C56" s="5" t="s">
        <v>34</v>
      </c>
      <c r="D56" s="5" t="s">
        <v>1329</v>
      </c>
      <c r="E56" s="5" t="s">
        <v>1330</v>
      </c>
      <c r="F56" s="5" t="s">
        <v>1331</v>
      </c>
    </row>
  </sheetData>
  <autoFilter ref="A1:F5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2026-10-21T18:36:31Z</dcterms:created>
  <dc:creator>openpyxl</dc:creator>
  <dc:description/>
  <dc:language>en-US</dc:language>
  <cp:lastModifiedBy/>
  <dcterms:modified xsi:type="dcterms:W3CDTF">2026-10-21T18:36:31Z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