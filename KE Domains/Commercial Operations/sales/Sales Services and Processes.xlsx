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Processes" sheetId="2" state="visible" r:id="rId4"/>
    <sheet name="Services" sheetId="3" state="visible" r:id="rId5"/>
    <sheet name="Process × Service" sheetId="4" state="visible" r:id="rId6"/>
    <sheet name="Job steps" sheetId="5" state="visible" r:id="rId7"/>
    <sheet name="Measures" sheetId="6" state="visible" r:id="rId8"/>
  </sheets>
  <definedNames>
    <definedName function="false" hidden="true" localSheetId="4" name="_xlnm._FilterDatabase" vbProcedure="false">'Job steps'!$A$1:$J$29</definedName>
    <definedName function="false" hidden="true" localSheetId="5" name="_xlnm._FilterDatabase" vbProcedure="false">Measures!$A$1:$H$14</definedName>
    <definedName function="false" hidden="true" localSheetId="1" name="_xlnm._FilterDatabase" vbProcedure="false">Processes!$A$1:$U$34</definedName>
    <definedName function="false" hidden="true" localSheetId="2" name="_xlnm._FilterDatabase" vbProcedure="false">Services!$A$1:$S$27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<sst xmlns="http://schemas.openxmlformats.org/spreadsheetml/2006/main" count="1498" uniqueCount="839">
  <si>
    <t xml:space="preserve">Sales services and processes</t>
  </si>
  <si>
    <t xml:space="preserve">Domain: Sales (https://www.insperity.com/ontology/domain-sales/) · Commercial Operations · version 0.1.0 · Draft · author Jeffrey Wallk</t>
  </si>
  <si>
    <t xml:space="preserve">What this workbook is</t>
  </si>
  <si>
    <t xml:space="preserve">A catalog of the selling process and the services that support it, in the shape of the Sales domain ontology: the selling process (sales:selling-process) broken into six selling stages and their selling steps (sales:selling-step), the services each step uses, the buyer persona job steps each step addresses (core:addresses), and the sales measures. Rows marked In model already exist in the Sales or Commercial Operations taxonomy; rows marked Proposed are candidates for the next build of the Sales spec.</t>
  </si>
  <si>
    <t xml:space="preserve">Job steps come from the Client Admin and HR Specialist job studies in KE Workbench › PEO buyer personas. Gray columns are calculated: edit the source columns (Processes › Addresses job steps, Services › Supports process steps) and the counts, matrix and coverage update.</t>
  </si>
  <si>
    <t xml:space="preserve">Summary</t>
  </si>
  <si>
    <t xml:space="preserve">Selling steps</t>
  </si>
  <si>
    <t xml:space="preserve">Level 2 rows on Processes</t>
  </si>
  <si>
    <t xml:space="preserve">  in model</t>
  </si>
  <si>
    <t xml:space="preserve">Exist as concepts in the Sales or Commercial Operations taxonomy</t>
  </si>
  <si>
    <t xml:space="preserve">  proposed</t>
  </si>
  <si>
    <t xml:space="preserve">Candidates for the next build</t>
  </si>
  <si>
    <t xml:space="preserve">Services</t>
  </si>
  <si>
    <t xml:space="preserve">  provided by Sales or Sales operations</t>
  </si>
  <si>
    <t xml:space="preserve">  provided by another Commercial Operations domain</t>
  </si>
  <si>
    <t xml:space="preserve">Reached through a Commercial Operations shared class, never by referring to the sibling domain (design decision D2)</t>
  </si>
  <si>
    <t xml:space="preserve">  automated or hybrid</t>
  </si>
  <si>
    <t xml:space="preserve">Candidates for agents and decision models</t>
  </si>
  <si>
    <t xml:space="preserve">Selling steps with no supporting service</t>
  </si>
  <si>
    <t xml:space="preserve">Highlighted on Process × Service</t>
  </si>
  <si>
    <t xml:space="preserve">Sales-owned job steps</t>
  </si>
  <si>
    <t xml:space="preserve">Buyer stages Discover to Decide</t>
  </si>
  <si>
    <t xml:space="preserve">  covered by in-model steps</t>
  </si>
  <si>
    <t xml:space="preserve">  covered once the proposals are added</t>
  </si>
  <si>
    <t xml:space="preserve">  value gaps (no step addresses them)</t>
  </si>
  <si>
    <t xml:space="preserve">Job step coverage, in model</t>
  </si>
  <si>
    <t xml:space="preserve">Measure SM-13 today</t>
  </si>
  <si>
    <t xml:space="preserve">Job step coverage, with proposals</t>
  </si>
  <si>
    <t xml:space="preserve">Measure SM-13 once the proposed steps are modeled</t>
  </si>
  <si>
    <t xml:space="preserve">Legend</t>
  </si>
  <si>
    <t xml:space="preserve">Status</t>
  </si>
  <si>
    <t xml:space="preserve">In model: the concept exists in the published taxonomy. Proposed: to be added to spec_sales.py (or the Commercial Operations spec) and rebuilt. Retired: kept for history.</t>
  </si>
  <si>
    <t xml:space="preserve">Kind</t>
  </si>
  <si>
    <t xml:space="preserve">Process (sales:selling-process) · Selling stage (provider's view of the buyer's journey, Baseline decision 21) · Selling step (sales:selling-step, the process step facts are anchored to).</t>
  </si>
  <si>
    <t xml:space="preserve">Delivery mode</t>
  </si>
  <si>
    <t xml:space="preserve">Manual: performed by a person. Automated: performed by a digital agent or system. Hybrid: both (Baseline decision 12).</t>
  </si>
  <si>
    <t xml:space="preserve">Addresses job steps</t>
  </si>
  <si>
    <t xml:space="preserve">core:addresses, intentionally many-to-many. A sales-owned job step that no selling step addresses is a value gap.</t>
  </si>
  <si>
    <t xml:space="preserve">IDs</t>
  </si>
  <si>
    <t xml:space="preserve">SP processes and steps · SV services · SM measures · JS-CA Client Admin job steps · JS-HR HR Specialist job steps. Separate several IDs with semicolons.</t>
  </si>
  <si>
    <t xml:space="preserve">Gray cells</t>
  </si>
  <si>
    <t xml:space="preserve">Calculated. Do not type over them.</t>
  </si>
  <si>
    <t xml:space="preserve">Modeling findings for the next build</t>
  </si>
  <si>
    <t xml:space="preserve">Move census, quote and signature to Commercial Operations</t>
  </si>
  <si>
    <t xml:space="preserve">Sales steps consume them, but they are Pricing and contracts primitives. Under D2, a term two domains use belongs in the container.</t>
  </si>
  <si>
    <t xml:space="preserve">Move liability and positioning to Commercial Operations</t>
  </si>
  <si>
    <t xml:space="preserve">Sales needs liability (Legal) for the employer liability review and positioning (Marketing) for competitive positioning.</t>
  </si>
  <si>
    <t xml:space="preserve">Add a "Sales service" top concept</t>
  </si>
  <si>
    <t xml:space="preserve">Formalized by core:service and broad-matching core-services "Sales services". The 17 Sales and Sales operations services become its narrower concepts.</t>
  </si>
  <si>
    <t xml:space="preserve">New primitives</t>
  </si>
  <si>
    <t xml:space="preserve">meeting, presentation, case (business case), reason (win-loss reason).</t>
  </si>
  <si>
    <t xml:space="preserve">Stage mismatches to review</t>
  </si>
  <si>
    <t xml:space="preserve">HR Specialist "Find where we carry compliance risk today" is a Discover job step but is also addressed by the Qualify step Employer liability review. Per Baseline decision 21, the mismatch is where value gaps form; confirm the stage or the step.</t>
  </si>
  <si>
    <t xml:space="preserve">ID</t>
  </si>
  <si>
    <t xml:space="preserve">Level</t>
  </si>
  <si>
    <t xml:space="preserve">Process</t>
  </si>
  <si>
    <t xml:space="preserve">Parent</t>
  </si>
  <si>
    <t xml:space="preserve">Selling stage</t>
  </si>
  <si>
    <t xml:space="preserve">Definition</t>
  </si>
  <si>
    <t xml:space="preserve">Performed by</t>
  </si>
  <si>
    <t xml:space="preserve">Inputs (consumes)</t>
  </si>
  <si>
    <t xml:space="preserve">Outputs (produces)</t>
  </si>
  <si>
    <t xml:space="preserve">Triggered by</t>
  </si>
  <si>
    <t xml:space="preserve">Governed by</t>
  </si>
  <si>
    <t xml:space="preserve">Measured by</t>
  </si>
  <si>
    <t xml:space="preserve">Formalized by (class)</t>
  </si>
  <si>
    <t xml:space="preserve">Taxonomy IRI</t>
  </si>
  <si>
    <t xml:space="preserve">Primitives (dcterms:subject)</t>
  </si>
  <si>
    <t xml:space="preserve">New primitives needed</t>
  </si>
  <si>
    <t xml:space="preserve">Services supporting (calculated)</t>
  </si>
  <si>
    <t xml:space="preserve">SP-00</t>
  </si>
  <si>
    <t xml:space="preserve">Selling process</t>
  </si>
  <si>
    <t xml:space="preserve">A process by which the organization pursues an opportunity from discovery to a won or lost decision and the handoff of a won client.</t>
  </si>
  <si>
    <t xml:space="preserve">Sales representative</t>
  </si>
  <si>
    <t xml:space="preserve">Hybrid</t>
  </si>
  <si>
    <t xml:space="preserve">Lead; Account; Ideal customer profile</t>
  </si>
  <si>
    <t xml:space="preserve">Opportunity; Proposal; Client service agreement; Booking</t>
  </si>
  <si>
    <t xml:space="preserve">Lead conversion</t>
  </si>
  <si>
    <t xml:space="preserve">Sales plan; Client service agreement template</t>
  </si>
  <si>
    <t xml:space="preserve">Win rate; Sales cycle length; Pipeline coverage</t>
  </si>
  <si>
    <t xml:space="preserve">sales:selling-process</t>
  </si>
  <si>
    <t xml:space="preserve">https://www.insperity.com/ontology/domain-sales/selling-process</t>
  </si>
  <si>
    <t xml:space="preserve">core-process/process</t>
  </si>
  <si>
    <t xml:space="preserve">In model</t>
  </si>
  <si>
    <t xml:space="preserve">SP-10</t>
  </si>
  <si>
    <t xml:space="preserve">Discover</t>
  </si>
  <si>
    <t xml:space="preserve">A selling stage in which the seller learns the prospect's situation, needs and the jobs it is trying to get done.</t>
  </si>
  <si>
    <t xml:space="preserve">Stage conversion rate; Time in stage</t>
  </si>
  <si>
    <t xml:space="preserve">sales:selling-step</t>
  </si>
  <si>
    <t xml:space="preserve">https://www.insperity.com/taxonomy/domain-sales/discover</t>
  </si>
  <si>
    <t xml:space="preserve">core-lifecycle/discover</t>
  </si>
  <si>
    <t xml:space="preserve">SP-20</t>
  </si>
  <si>
    <t xml:space="preserve">Qualify</t>
  </si>
  <si>
    <t xml:space="preserve">A selling stage in which the seller determines whether the opportunity fits the ideal customer profile and is worth pursuing.</t>
  </si>
  <si>
    <t xml:space="preserve">https://www.insperity.com/taxonomy/domain-sales/qualify</t>
  </si>
  <si>
    <t xml:space="preserve">domain-commercial-operations/qualification</t>
  </si>
  <si>
    <t xml:space="preserve">SP-30</t>
  </si>
  <si>
    <t xml:space="preserve">Evaluate</t>
  </si>
  <si>
    <t xml:space="preserve">A selling stage in which the buyer assesses the organization's offerings against its needs and its alternatives.</t>
  </si>
  <si>
    <t xml:space="preserve">https://www.insperity.com/taxonomy/domain-sales/evaluate</t>
  </si>
  <si>
    <t xml:space="preserve">core-governance/assessment</t>
  </si>
  <si>
    <t xml:space="preserve">SP-40</t>
  </si>
  <si>
    <t xml:space="preserve">Propose</t>
  </si>
  <si>
    <t xml:space="preserve">A selling stage in which the organization presents a proposal of offerings, terms and prices.</t>
  </si>
  <si>
    <t xml:space="preserve">https://www.insperity.com/taxonomy/domain-sales/propose</t>
  </si>
  <si>
    <t xml:space="preserve">domain-commercial-operations/proposal</t>
  </si>
  <si>
    <t xml:space="preserve">SP-50</t>
  </si>
  <si>
    <t xml:space="preserve">Decide</t>
  </si>
  <si>
    <t xml:space="preserve">A selling stage in which the buyer negotiates and makes its decision, ending in a win or a loss.</t>
  </si>
  <si>
    <t xml:space="preserve">https://www.insperity.com/taxonomy/domain-sales/decide</t>
  </si>
  <si>
    <t xml:space="preserve">core-decision/decision</t>
  </si>
  <si>
    <t xml:space="preserve">SP-60</t>
  </si>
  <si>
    <t xml:space="preserve">Onboard</t>
  </si>
  <si>
    <t xml:space="preserve">A selling stage in which a won client is handed off to be brought into active service.</t>
  </si>
  <si>
    <t xml:space="preserve">https://www.insperity.com/taxonomy/domain-sales/onboard</t>
  </si>
  <si>
    <t xml:space="preserve">core-event/onboarding</t>
  </si>
  <si>
    <t xml:space="preserve">SP-11</t>
  </si>
  <si>
    <t xml:space="preserve">Prospecting</t>
  </si>
  <si>
    <t xml:space="preserve">Selling step</t>
  </si>
  <si>
    <t xml:space="preserve">A selling step that searches the territory for parties that fit the ideal customer profile.</t>
  </si>
  <si>
    <t xml:space="preserve">Ideal customer profile; Territory; Intent signal</t>
  </si>
  <si>
    <t xml:space="preserve">Lead; Prospect account</t>
  </si>
  <si>
    <t xml:space="preserve">Territory plan published</t>
  </si>
  <si>
    <t xml:space="preserve">Territory plan; Marketing communication law</t>
  </si>
  <si>
    <t xml:space="preserve">Leads created; Prospecting activity</t>
  </si>
  <si>
    <t xml:space="preserve">https://www.insperity.com/taxonomy/domain-sales/prospecting</t>
  </si>
  <si>
    <t xml:space="preserve">domain-sales/prospecting</t>
  </si>
  <si>
    <t xml:space="preserve">SP-12</t>
  </si>
  <si>
    <t xml:space="preserve">Outreach</t>
  </si>
  <si>
    <t xml:space="preserve">A selling step in which the seller contacts a lead that has not asked to be contacted, following a cadence.</t>
  </si>
  <si>
    <t xml:space="preserve">Lead; Cadence</t>
  </si>
  <si>
    <t xml:space="preserve">Interaction; Meeting request</t>
  </si>
  <si>
    <t xml:space="preserve">Lead assigned</t>
  </si>
  <si>
    <t xml:space="preserve">Cadence; Telephone consumer protection act; CAN-SPAM act; Consent requirement</t>
  </si>
  <si>
    <t xml:space="preserve">Response rate</t>
  </si>
  <si>
    <t xml:space="preserve">https://www.insperity.com/taxonomy/domain-sales/outreach</t>
  </si>
  <si>
    <t xml:space="preserve">domain-sales/outreach</t>
  </si>
  <si>
    <t xml:space="preserve">SP-13</t>
  </si>
  <si>
    <t xml:space="preserve">Lead acceptance</t>
  </si>
  <si>
    <t xml:space="preserve">A selling step in which sales accepts or rejects a marketing-qualified lead, making it a sales-qualified lead.</t>
  </si>
  <si>
    <t xml:space="preserve">Marketing-qualified lead; Lead score</t>
  </si>
  <si>
    <t xml:space="preserve">Sales-qualified lead; Rejection reason</t>
  </si>
  <si>
    <t xml:space="preserve">Marketing-qualified lead handed off</t>
  </si>
  <si>
    <t xml:space="preserve">Lead service level agreement</t>
  </si>
  <si>
    <t xml:space="preserve">Lead acceptance rate; Speed to lead</t>
  </si>
  <si>
    <t xml:space="preserve">https://www.insperity.com/taxonomy/domain-sales/lead-acceptance</t>
  </si>
  <si>
    <t xml:space="preserve">domain-commercial-operations/lead; core-process/approval</t>
  </si>
  <si>
    <t xml:space="preserve">Proposed</t>
  </si>
  <si>
    <t xml:space="preserve">SP-14</t>
  </si>
  <si>
    <t xml:space="preserve">Discovery meeting</t>
  </si>
  <si>
    <t xml:space="preserve">A selling step in which the seller meets the prospect to learn its situation, current human resources setup and pain points.</t>
  </si>
  <si>
    <t xml:space="preserve">Manual</t>
  </si>
  <si>
    <t xml:space="preserve">Prospect account; Sales-qualified lead</t>
  </si>
  <si>
    <t xml:space="preserve">Discovery notes; Account</t>
  </si>
  <si>
    <t xml:space="preserve">JS-CA-01; JS-HR-01</t>
  </si>
  <si>
    <t xml:space="preserve">Meeting scheduled</t>
  </si>
  <si>
    <t xml:space="preserve">Discovery guide</t>
  </si>
  <si>
    <t xml:space="preserve">Meetings held; Discovery-to-qualification rate</t>
  </si>
  <si>
    <t xml:space="preserve">https://www.insperity.com/taxonomy/domain-sales/discovery-meeting</t>
  </si>
  <si>
    <t xml:space="preserve">core-lifecycle/discover; core-event/interaction</t>
  </si>
  <si>
    <t xml:space="preserve">meeting</t>
  </si>
  <si>
    <t xml:space="preserve">SP-15</t>
  </si>
  <si>
    <t xml:space="preserve">Jobs and needs capture</t>
  </si>
  <si>
    <t xml:space="preserve">A selling step that records the jobs, job steps and desired outcomes the buyer personas at the prospect are trying to get done.</t>
  </si>
  <si>
    <t xml:space="preserve">Discovery notes; Buyer persona</t>
  </si>
  <si>
    <t xml:space="preserve">Job study (prospect)</t>
  </si>
  <si>
    <t xml:space="preserve">Discovery meeting completed</t>
  </si>
  <si>
    <t xml:space="preserve">Jobs model (Baseline decisions 16–21)</t>
  </si>
  <si>
    <t xml:space="preserve">Job steps captured per opportunity</t>
  </si>
  <si>
    <t xml:space="preserve">https://www.insperity.com/taxonomy/domain-sales/jobs-and-needs-capture</t>
  </si>
  <si>
    <t xml:space="preserve">core-job/study; core-requirements/need</t>
  </si>
  <si>
    <t xml:space="preserve">SP-21</t>
  </si>
  <si>
    <t xml:space="preserve">Opportunity qualification</t>
  </si>
  <si>
    <t xml:space="preserve">A selling step that determines whether the prospect fits the ideal customer profile by size, industry and the states it hires in.</t>
  </si>
  <si>
    <t xml:space="preserve">Discovery notes; Ideal customer profile; Firmographic profile</t>
  </si>
  <si>
    <t xml:space="preserve">Qualification decision</t>
  </si>
  <si>
    <t xml:space="preserve">JS-CA-02; JS-HR-02</t>
  </si>
  <si>
    <t xml:space="preserve">Jobs and needs captured</t>
  </si>
  <si>
    <t xml:space="preserve">Ideal customer profile; Underwriting guideline (eligibility)</t>
  </si>
  <si>
    <t xml:space="preserve">Qualification rate</t>
  </si>
  <si>
    <t xml:space="preserve">https://www.insperity.com/taxonomy/domain-commercial-operations/qualification</t>
  </si>
  <si>
    <t xml:space="preserve">SP-22</t>
  </si>
  <si>
    <t xml:space="preserve">Employer liability review</t>
  </si>
  <si>
    <t xml:space="preserve">A selling step that inventories the employer liabilities and compliance risks the prospect carries today.</t>
  </si>
  <si>
    <t xml:space="preserve">Discovery notes; Prospect's current human resources setup</t>
  </si>
  <si>
    <t xml:space="preserve">Liability inventory</t>
  </si>
  <si>
    <t xml:space="preserve">JS-CA-11; JS-HR-01</t>
  </si>
  <si>
    <t xml:space="preserve">Qualification started</t>
  </si>
  <si>
    <t xml:space="preserve">Employment law; Employee benefits law</t>
  </si>
  <si>
    <t xml:space="preserve">Reviews completed</t>
  </si>
  <si>
    <t xml:space="preserve">https://www.insperity.com/taxonomy/domain-sales/employer-liability-review</t>
  </si>
  <si>
    <t xml:space="preserve">core-role/employer; domain-legal/liability (via container)</t>
  </si>
  <si>
    <t xml:space="preserve">liability (move to container)</t>
  </si>
  <si>
    <t xml:space="preserve">SP-23</t>
  </si>
  <si>
    <t xml:space="preserve">Opportunity creation</t>
  </si>
  <si>
    <t xml:space="preserve">A selling step that converts a qualified lead into an opportunity and records what sourced it.</t>
  </si>
  <si>
    <t xml:space="preserve">Automated</t>
  </si>
  <si>
    <t xml:space="preserve">Sales-qualified lead; Qualification decision</t>
  </si>
  <si>
    <t xml:space="preserve">Opportunity; Attribution</t>
  </si>
  <si>
    <t xml:space="preserve">Qualification passed</t>
  </si>
  <si>
    <t xml:space="preserve">Attribution rules; Opportunity registration rules (partners)</t>
  </si>
  <si>
    <t xml:space="preserve">Opportunities created; Conversion rate</t>
  </si>
  <si>
    <t xml:space="preserve">https://www.insperity.com/taxonomy/domain-commercial-operations/lead-conversion</t>
  </si>
  <si>
    <t xml:space="preserve">domain-commercial-operations/lead; domain-commercial-operations/conversion</t>
  </si>
  <si>
    <t xml:space="preserve">SP-31</t>
  </si>
  <si>
    <t xml:space="preserve">Demonstration</t>
  </si>
  <si>
    <t xml:space="preserve">A selling step that shows the buyer how the services and technology work in use.</t>
  </si>
  <si>
    <t xml:space="preserve">Opportunity; Job study (prospect)</t>
  </si>
  <si>
    <t xml:space="preserve">Demonstration feedback</t>
  </si>
  <si>
    <t xml:space="preserve">JS-CA-01; JS-HR-03</t>
  </si>
  <si>
    <t xml:space="preserve">Opportunity created</t>
  </si>
  <si>
    <t xml:space="preserve">Demonstration script</t>
  </si>
  <si>
    <t xml:space="preserve">Demonstrations held</t>
  </si>
  <si>
    <t xml:space="preserve">https://www.insperity.com/taxonomy/domain-sales/demonstration</t>
  </si>
  <si>
    <t xml:space="preserve">domain-sales/demonstration</t>
  </si>
  <si>
    <t xml:space="preserve">SP-32</t>
  </si>
  <si>
    <t xml:space="preserve">Census collection</t>
  </si>
  <si>
    <t xml:space="preserve">A selling step that collects the prospect's employee census securely for underwriting and quoting.</t>
  </si>
  <si>
    <t xml:space="preserve">Opportunity; Census template</t>
  </si>
  <si>
    <t xml:space="preserve">Census</t>
  </si>
  <si>
    <t xml:space="preserve">JS-CA-09; JS-CA-14</t>
  </si>
  <si>
    <t xml:space="preserve">Prospect agrees to be quoted</t>
  </si>
  <si>
    <t xml:space="preserve">Data protection and retention norms (Legal); Underwriting guideline</t>
  </si>
  <si>
    <t xml:space="preserve">Census completeness; Census turnaround time</t>
  </si>
  <si>
    <t xml:space="preserve">https://www.insperity.com/taxonomy/domain-sales/census-collection</t>
  </si>
  <si>
    <t xml:space="preserve">census (move to container); core-process/inputs</t>
  </si>
  <si>
    <t xml:space="preserve">census (move to container)</t>
  </si>
  <si>
    <t xml:space="preserve">SP-33</t>
  </si>
  <si>
    <t xml:space="preserve">Total cost of employment comparison</t>
  </si>
  <si>
    <t xml:space="preserve">A selling step that compares the prospect's all-in cost per employee today with the cost under the organization's offering, now and as headcount grows.</t>
  </si>
  <si>
    <t xml:space="preserve">Census; Current costs; Benefits rates</t>
  </si>
  <si>
    <t xml:space="preserve">Cost comparison</t>
  </si>
  <si>
    <t xml:space="preserve">JS-CA-03; JS-CA-07; JS-CA-08</t>
  </si>
  <si>
    <t xml:space="preserve">Census collected</t>
  </si>
  <si>
    <t xml:space="preserve">Pricing model</t>
  </si>
  <si>
    <t xml:space="preserve">Comparisons delivered</t>
  </si>
  <si>
    <t xml:space="preserve">https://www.insperity.com/taxonomy/domain-sales/total-cost-of-employment-comparison</t>
  </si>
  <si>
    <t xml:space="preserve">core-product/cost; core-governance/assessment</t>
  </si>
  <si>
    <t xml:space="preserve">SP-34</t>
  </si>
  <si>
    <t xml:space="preserve">Benefits plan comparison</t>
  </si>
  <si>
    <t xml:space="preserve">A selling step that compares the benefit plans the prospect's employees have today with those they would see.</t>
  </si>
  <si>
    <t xml:space="preserve">Census; Current plans; Benefit plan catalog</t>
  </si>
  <si>
    <t xml:space="preserve">Benefits comparison</t>
  </si>
  <si>
    <t xml:space="preserve">JS-HR-03</t>
  </si>
  <si>
    <t xml:space="preserve">Employee benefits law</t>
  </si>
  <si>
    <t xml:space="preserve">https://www.insperity.com/taxonomy/domain-sales/benefits-plan-comparison</t>
  </si>
  <si>
    <t xml:space="preserve">domain-commercial-operations/benefit; core-product/plan; core-governance/assessment</t>
  </si>
  <si>
    <t xml:space="preserve">SP-35</t>
  </si>
  <si>
    <t xml:space="preserve">Competitive positioning</t>
  </si>
  <si>
    <t xml:space="preserve">A selling step that positions the offering against the competitor or alternative the buyer is considering.</t>
  </si>
  <si>
    <t xml:space="preserve">Opportunity; Battlecard; Competitor</t>
  </si>
  <si>
    <t xml:space="preserve">Positioning notes</t>
  </si>
  <si>
    <t xml:space="preserve">Competitor identified</t>
  </si>
  <si>
    <t xml:space="preserve">Battlecard; Marketing review (Legal)</t>
  </si>
  <si>
    <t xml:space="preserve">Competitive win rate</t>
  </si>
  <si>
    <t xml:space="preserve">https://www.insperity.com/taxonomy/domain-sales/competitive-positioning</t>
  </si>
  <si>
    <t xml:space="preserve">domain-commercial-operations/competitor; core-measure/performance</t>
  </si>
  <si>
    <t xml:space="preserve">positioning (Marketing primitive; move to container)</t>
  </si>
  <si>
    <t xml:space="preserve">SP-41</t>
  </si>
  <si>
    <t xml:space="preserve">Quote request</t>
  </si>
  <si>
    <t xml:space="preserve">A selling step that sends the census and opportunity to underwriting and receives a quote.</t>
  </si>
  <si>
    <t xml:space="preserve">Census; Opportunity</t>
  </si>
  <si>
    <t xml:space="preserve">Quote</t>
  </si>
  <si>
    <t xml:space="preserve">Census validated</t>
  </si>
  <si>
    <t xml:space="preserve">Underwriting guideline</t>
  </si>
  <si>
    <t xml:space="preserve">Quote turnaround time</t>
  </si>
  <si>
    <t xml:space="preserve">https://www.insperity.com/taxonomy/domain-sales/quote-request</t>
  </si>
  <si>
    <t xml:space="preserve">quote (move to container); core-issue/request</t>
  </si>
  <si>
    <t xml:space="preserve">quote (move to container)</t>
  </si>
  <si>
    <t xml:space="preserve">SP-42</t>
  </si>
  <si>
    <t xml:space="preserve">Proposal preparation</t>
  </si>
  <si>
    <t xml:space="preserve">A selling step that assembles the quote, the co-employment split and the cost comparison into a proposal.</t>
  </si>
  <si>
    <t xml:space="preserve">Quote; Cost comparison; Benefits comparison; Liability inventory</t>
  </si>
  <si>
    <t xml:space="preserve">Proposal</t>
  </si>
  <si>
    <t xml:space="preserve">JS-CA-04; JS-CA-12</t>
  </si>
  <si>
    <t xml:space="preserve">Quote received</t>
  </si>
  <si>
    <t xml:space="preserve">Proposal template; Allocation of employer responsibilities</t>
  </si>
  <si>
    <t xml:space="preserve">Proposals issued</t>
  </si>
  <si>
    <t xml:space="preserve">https://www.insperity.com/taxonomy/domain-sales/proposal-preparation</t>
  </si>
  <si>
    <t xml:space="preserve">domain-commercial-operations/proposal; core-process/drafting</t>
  </si>
  <si>
    <t xml:space="preserve">SP-43</t>
  </si>
  <si>
    <t xml:space="preserve">Proposal presentation</t>
  </si>
  <si>
    <t xml:space="preserve">A selling step that presents the proposal to the buyer and walks through which employer responsibilities move, stay or are shared.</t>
  </si>
  <si>
    <t xml:space="preserve">Buyer feedback</t>
  </si>
  <si>
    <t xml:space="preserve">Proposal issued</t>
  </si>
  <si>
    <t xml:space="preserve">Disclosure requirement</t>
  </si>
  <si>
    <t xml:space="preserve">Proposal-to-decision rate</t>
  </si>
  <si>
    <t xml:space="preserve">https://www.insperity.com/taxonomy/domain-sales/proposal-presentation</t>
  </si>
  <si>
    <t xml:space="preserve">domain-commercial-operations/proposal; core-event/interaction</t>
  </si>
  <si>
    <t xml:space="preserve">presentation</t>
  </si>
  <si>
    <t xml:space="preserve">SP-44</t>
  </si>
  <si>
    <t xml:space="preserve">Policy and records mapping</t>
  </si>
  <si>
    <t xml:space="preserve">A selling step that maps the prospect's handbook, policies and human resources records to the organization's policies and to what must move.</t>
  </si>
  <si>
    <t xml:space="preserve">Prospect handbook; Records inventory</t>
  </si>
  <si>
    <t xml:space="preserve">Policy map; Records transfer plan</t>
  </si>
  <si>
    <t xml:space="preserve">JS-HR-04; JS-HR-11</t>
  </si>
  <si>
    <t xml:space="preserve">Proposal presented</t>
  </si>
  <si>
    <t xml:space="preserve">Workforce policy; Records retention policy</t>
  </si>
  <si>
    <t xml:space="preserve">Mappings completed</t>
  </si>
  <si>
    <t xml:space="preserve">https://www.insperity.com/taxonomy/domain-sales/policy-and-records-mapping</t>
  </si>
  <si>
    <t xml:space="preserve">core-policy/policy; core-asset/record; core-asset/mapping</t>
  </si>
  <si>
    <t xml:space="preserve">SP-51</t>
  </si>
  <si>
    <t xml:space="preserve">Objection handling</t>
  </si>
  <si>
    <t xml:space="preserve">A selling step that answers the buyer's objections so the decision can proceed.</t>
  </si>
  <si>
    <t xml:space="preserve">Buyer feedback; Battlecard</t>
  </si>
  <si>
    <t xml:space="preserve">Objection log</t>
  </si>
  <si>
    <t xml:space="preserve">Objection raised</t>
  </si>
  <si>
    <t xml:space="preserve">Objections resolved</t>
  </si>
  <si>
    <t xml:space="preserve">https://www.insperity.com/taxonomy/domain-sales/objection-handling</t>
  </si>
  <si>
    <t xml:space="preserve">domain-sales/objection; core-process/action</t>
  </si>
  <si>
    <t xml:space="preserve">SP-52</t>
  </si>
  <si>
    <t xml:space="preserve">Business case for decision makers</t>
  </si>
  <si>
    <t xml:space="preserve">A selling step that gives the owners and finance leaders the evidence they need to approve: cost, risk removed and value delivered.</t>
  </si>
  <si>
    <t xml:space="preserve">Cost comparison; Liability inventory; Proposal</t>
  </si>
  <si>
    <t xml:space="preserve">Business case</t>
  </si>
  <si>
    <t xml:space="preserve">JS-CA-05; JS-HR-05</t>
  </si>
  <si>
    <t xml:space="preserve">Decision meeting scheduled</t>
  </si>
  <si>
    <t xml:space="preserve">Decisions reached</t>
  </si>
  <si>
    <t xml:space="preserve">https://www.insperity.com/taxonomy/domain-sales/business-case-for-decision-makers</t>
  </si>
  <si>
    <t xml:space="preserve">core-value/value; core-governance/assessment</t>
  </si>
  <si>
    <t xml:space="preserve">case</t>
  </si>
  <si>
    <t xml:space="preserve">SP-53</t>
  </si>
  <si>
    <t xml:space="preserve">Negotiation</t>
  </si>
  <si>
    <t xml:space="preserve">A selling step in which the parties negotiate prices and terms.</t>
  </si>
  <si>
    <t xml:space="preserve">Proposal; Buyer feedback</t>
  </si>
  <si>
    <t xml:space="preserve">Agreed terms</t>
  </si>
  <si>
    <t xml:space="preserve">Buyer requests changes</t>
  </si>
  <si>
    <t xml:space="preserve">Pricing model; Pricing exception rules</t>
  </si>
  <si>
    <t xml:space="preserve">Discount given; Negotiation cycle length</t>
  </si>
  <si>
    <t xml:space="preserve">https://www.insperity.com/taxonomy/domain-commercial-operations/negotiation</t>
  </si>
  <si>
    <t xml:space="preserve">domain-commercial-operations/negotiation</t>
  </si>
  <si>
    <t xml:space="preserve">SP-54</t>
  </si>
  <si>
    <t xml:space="preserve">Pricing exception request</t>
  </si>
  <si>
    <t xml:space="preserve">A selling step that asks pricing review to approve prices or terms outside the standard pricing model.</t>
  </si>
  <si>
    <t xml:space="preserve">Agreed terms; Quote</t>
  </si>
  <si>
    <t xml:space="preserve">Pricing exception decision</t>
  </si>
  <si>
    <t xml:space="preserve">Terms outside standard</t>
  </si>
  <si>
    <t xml:space="preserve">Pricing model; Pricing review</t>
  </si>
  <si>
    <t xml:space="preserve">Exceptions requested; Exception approval rate</t>
  </si>
  <si>
    <t xml:space="preserve">https://www.insperity.com/taxonomy/domain-sales/pricing-exception-request</t>
  </si>
  <si>
    <t xml:space="preserve">core-decision/pricing; core-issue/exception; core-issue/request</t>
  </si>
  <si>
    <t xml:space="preserve">SP-55</t>
  </si>
  <si>
    <t xml:space="preserve">Transition communication planning</t>
  </si>
  <si>
    <t xml:space="preserve">A selling step that plans, with the buyer, how employees will be told what changes, when and whom to ask.</t>
  </si>
  <si>
    <t xml:space="preserve">Proposal; Policy map</t>
  </si>
  <si>
    <t xml:space="preserve">Employee communication plan</t>
  </si>
  <si>
    <t xml:space="preserve">JS-HR-07</t>
  </si>
  <si>
    <t xml:space="preserve">Verbal decision</t>
  </si>
  <si>
    <t xml:space="preserve">Plans agreed</t>
  </si>
  <si>
    <t xml:space="preserve">https://www.insperity.com/taxonomy/domain-sales/transition-communication-planning</t>
  </si>
  <si>
    <t xml:space="preserve">core-services/communication; core-process/planning</t>
  </si>
  <si>
    <t xml:space="preserve">SP-56</t>
  </si>
  <si>
    <t xml:space="preserve">Agreement signature</t>
  </si>
  <si>
    <t xml:space="preserve">A selling step in which the client signs the client service agreement, ending the opportunity in a win.</t>
  </si>
  <si>
    <t xml:space="preserve">Agreed terms; Client service agreement</t>
  </si>
  <si>
    <t xml:space="preserve">Executed client service agreement; Won opportunity; Sale</t>
  </si>
  <si>
    <t xml:space="preserve">JS-CA-05</t>
  </si>
  <si>
    <t xml:space="preserve">Contract approved</t>
  </si>
  <si>
    <t xml:space="preserve">Client service agreement; Professional employer organization law</t>
  </si>
  <si>
    <t xml:space="preserve">Agreements signed; Win rate</t>
  </si>
  <si>
    <t xml:space="preserve">https://www.insperity.com/taxonomy/domain-sales/agreement-signature</t>
  </si>
  <si>
    <t xml:space="preserve">core-policy/agreement; signature (move to container)</t>
  </si>
  <si>
    <t xml:space="preserve">signature (move to container)</t>
  </si>
  <si>
    <t xml:space="preserve">SP-57</t>
  </si>
  <si>
    <t xml:space="preserve">Win-loss capture</t>
  </si>
  <si>
    <t xml:space="preserve">A selling step that records why the opportunity was won or lost, and to whom, for win-loss analysis.</t>
  </si>
  <si>
    <t xml:space="preserve">Opportunity</t>
  </si>
  <si>
    <t xml:space="preserve">Won opportunity or Lost opportunity; Win-loss reason</t>
  </si>
  <si>
    <t xml:space="preserve">Opportunity closed</t>
  </si>
  <si>
    <t xml:space="preserve">Reasons captured</t>
  </si>
  <si>
    <t xml:space="preserve">https://www.insperity.com/taxonomy/domain-sales/win-loss-capture</t>
  </si>
  <si>
    <t xml:space="preserve">domain-commercial-operations/win; core-value/loss; core-asset/record</t>
  </si>
  <si>
    <t xml:space="preserve">reason</t>
  </si>
  <si>
    <t xml:space="preserve">SP-61</t>
  </si>
  <si>
    <t xml:space="preserve">Booking entry</t>
  </si>
  <si>
    <t xml:space="preserve">A selling step that records the sale as a booking before the client's service starts.</t>
  </si>
  <si>
    <t xml:space="preserve">Executed client service agreement</t>
  </si>
  <si>
    <t xml:space="preserve">Booking</t>
  </si>
  <si>
    <t xml:space="preserve">Agreement executed</t>
  </si>
  <si>
    <t xml:space="preserve">Booking rules; Sales incentive plan</t>
  </si>
  <si>
    <t xml:space="preserve">Bookings; Worksite employees sold</t>
  </si>
  <si>
    <t xml:space="preserve">https://www.insperity.com/taxonomy/domain-sales/booking-entry</t>
  </si>
  <si>
    <t xml:space="preserve">domain-sales/booking</t>
  </si>
  <si>
    <t xml:space="preserve">SP-62</t>
  </si>
  <si>
    <t xml:space="preserve">Client handoff</t>
  </si>
  <si>
    <t xml:space="preserve">A selling step that passes the won client, with its census, liability inventory, policy map and communication plan, to the team that brings it into service.</t>
  </si>
  <si>
    <t xml:space="preserve">Booking; Census; Liability inventory; Policy map; Employee communication plan</t>
  </si>
  <si>
    <t xml:space="preserve">Handoff package</t>
  </si>
  <si>
    <t xml:space="preserve">Booking entered</t>
  </si>
  <si>
    <t xml:space="preserve">Handoff checklist</t>
  </si>
  <si>
    <t xml:space="preserve">Handoff completeness; Time to handoff</t>
  </si>
  <si>
    <t xml:space="preserve">https://www.insperity.com/taxonomy/domain-sales/client-handoff</t>
  </si>
  <si>
    <t xml:space="preserve">core-role/client; core-event/handoff</t>
  </si>
  <si>
    <t xml:space="preserve">Service</t>
  </si>
  <si>
    <t xml:space="preserve">Category</t>
  </si>
  <si>
    <t xml:space="preserve">Service consumer</t>
  </si>
  <si>
    <t xml:space="preserve">Provider domain</t>
  </si>
  <si>
    <t xml:space="preserve">Supports process steps</t>
  </si>
  <si>
    <t xml:space="preserve">Capability exercised</t>
  </si>
  <si>
    <t xml:space="preserve">Inputs</t>
  </si>
  <si>
    <t xml:space="preserve">Outputs</t>
  </si>
  <si>
    <t xml:space="preserve">Service measures</t>
  </si>
  <si>
    <t xml:space="preserve">Shared interface (Commercial Operations)</t>
  </si>
  <si>
    <t xml:space="preserve">Core taxonomy match (skos:broadMatch)</t>
  </si>
  <si>
    <t xml:space="preserve">Proposed taxonomy IRI</t>
  </si>
  <si>
    <t xml:space="preserve">Steps supported (calculated)</t>
  </si>
  <si>
    <t xml:space="preserve">SV-01</t>
  </si>
  <si>
    <t xml:space="preserve">Discovery consultation</t>
  </si>
  <si>
    <t xml:space="preserve">Buyer-facing service</t>
  </si>
  <si>
    <t xml:space="preserve">A service in which the organization helps a prospect understand its human resources situation, risks and the jobs it is trying to get done.</t>
  </si>
  <si>
    <t xml:space="preserve">Buyer (Client Admin, HR Specialist)</t>
  </si>
  <si>
    <t xml:space="preserve">Sales</t>
  </si>
  <si>
    <t xml:space="preserve">SP-14;SP-15;SP-22</t>
  </si>
  <si>
    <t xml:space="preserve">Customer relationship management</t>
  </si>
  <si>
    <t xml:space="preserve">Discovery notes; Job study</t>
  </si>
  <si>
    <t xml:space="preserve">Meetings held</t>
  </si>
  <si>
    <t xml:space="preserve">https://www.insperity.com/taxonomy/core-services/sales-services</t>
  </si>
  <si>
    <t xml:space="preserve">https://www.insperity.com/taxonomy/domain-sales/discovery-consultation</t>
  </si>
  <si>
    <t xml:space="preserve">SV-02</t>
  </si>
  <si>
    <t xml:space="preserve">Total cost of employment analysis</t>
  </si>
  <si>
    <t xml:space="preserve">A service that compares the prospect's all-in cost per employee today with the cost under the organization's offering.</t>
  </si>
  <si>
    <t xml:space="preserve">Buyer (Client Admin)</t>
  </si>
  <si>
    <t xml:space="preserve">Sales representative; Sales advisor agent</t>
  </si>
  <si>
    <t xml:space="preserve">SP-33;SP-52</t>
  </si>
  <si>
    <t xml:space="preserve">Business intelligence</t>
  </si>
  <si>
    <t xml:space="preserve">Census; Current costs; Pricing model</t>
  </si>
  <si>
    <t xml:space="preserve">https://www.insperity.com/taxonomy/domain-sales/total-cost-of-employment-analysis</t>
  </si>
  <si>
    <t xml:space="preserve">SV-03</t>
  </si>
  <si>
    <t xml:space="preserve">Product demonstration</t>
  </si>
  <si>
    <t xml:space="preserve">A service that shows the buyer the services and technology in use.</t>
  </si>
  <si>
    <t xml:space="preserve">Demonstration environment</t>
  </si>
  <si>
    <t xml:space="preserve">https://www.insperity.com/taxonomy/domain-sales/product-demonstration</t>
  </si>
  <si>
    <t xml:space="preserve">SV-04</t>
  </si>
  <si>
    <t xml:space="preserve">A service that compares the benefit plans employees have today with those they would see.</t>
  </si>
  <si>
    <t xml:space="preserve">Buyer (HR Specialist)</t>
  </si>
  <si>
    <t xml:space="preserve">Product information management</t>
  </si>
  <si>
    <t xml:space="preserve">Census; Benefit plan catalog</t>
  </si>
  <si>
    <t xml:space="preserve">https://www.insperity.com/taxonomy/domain-sales/benefits-comparison</t>
  </si>
  <si>
    <t xml:space="preserve">SV-05</t>
  </si>
  <si>
    <t xml:space="preserve">Proposal service</t>
  </si>
  <si>
    <t xml:space="preserve">A service that prepares and presents a proposal of offerings, terms, prices and the co-employment split.</t>
  </si>
  <si>
    <t xml:space="preserve">SP-42;SP-43</t>
  </si>
  <si>
    <t xml:space="preserve">Quote; Cost comparison; Liability inventory</t>
  </si>
  <si>
    <t xml:space="preserve">Proposals issued; Proposal turnaround time</t>
  </si>
  <si>
    <t xml:space="preserve">Proposal template</t>
  </si>
  <si>
    <t xml:space="preserve">commercialops:proposal</t>
  </si>
  <si>
    <t xml:space="preserve">https://www.insperity.com/taxonomy/domain-sales/proposal-service</t>
  </si>
  <si>
    <t xml:space="preserve">SV-06</t>
  </si>
  <si>
    <t xml:space="preserve">Transition planning</t>
  </si>
  <si>
    <t xml:space="preserve">A service that maps the buyer's policies and records and plans employee communications for the move.</t>
  </si>
  <si>
    <t xml:space="preserve">SP-44;SP-55</t>
  </si>
  <si>
    <t xml:space="preserve">Policy map; Records transfer plan; Employee communication plan</t>
  </si>
  <si>
    <t xml:space="preserve">Workforce policy; Disclosure requirement</t>
  </si>
  <si>
    <t xml:space="preserve">https://www.insperity.com/taxonomy/domain-sales/transition-planning</t>
  </si>
  <si>
    <t xml:space="preserve">SV-10</t>
  </si>
  <si>
    <t xml:space="preserve">Lead routing and assignment</t>
  </si>
  <si>
    <t xml:space="preserve">Sales operations service</t>
  </si>
  <si>
    <t xml:space="preserve">A service that assigns each accepted lead to the representative responsible for its territory or segment.</t>
  </si>
  <si>
    <t xml:space="preserve">Sales operations</t>
  </si>
  <si>
    <t xml:space="preserve">Workflow automation</t>
  </si>
  <si>
    <t xml:space="preserve">SP-12;SP-13</t>
  </si>
  <si>
    <t xml:space="preserve">Lead; Territory</t>
  </si>
  <si>
    <t xml:space="preserve">Assigned lead</t>
  </si>
  <si>
    <t xml:space="preserve">Speed to lead</t>
  </si>
  <si>
    <t xml:space="preserve">Territory plan</t>
  </si>
  <si>
    <t xml:space="preserve">https://www.insperity.com/taxonomy/core-services/sales-operations</t>
  </si>
  <si>
    <t xml:space="preserve">https://www.insperity.com/taxonomy/domain-sales/lead-routing-and-assignment</t>
  </si>
  <si>
    <t xml:space="preserve">SV-11</t>
  </si>
  <si>
    <t xml:space="preserve">Lead and opportunity scoring</t>
  </si>
  <si>
    <t xml:space="preserve">A service that scores leads and opportunities by fit and likelihood to close.</t>
  </si>
  <si>
    <t xml:space="preserve">Sales representative; Sales manager</t>
  </si>
  <si>
    <t xml:space="preserve">Scoring model</t>
  </si>
  <si>
    <t xml:space="preserve">SP-13;SP-21</t>
  </si>
  <si>
    <t xml:space="preserve">Artificial intelligence and machine learning</t>
  </si>
  <si>
    <t xml:space="preserve">Lead; Firmographic profile; Intent signal; Engagement signal</t>
  </si>
  <si>
    <t xml:space="preserve">Lead score; Opportunity score</t>
  </si>
  <si>
    <t xml:space="preserve">Score accuracy</t>
  </si>
  <si>
    <t xml:space="preserve">Scoring model; AI circuit breaker</t>
  </si>
  <si>
    <t xml:space="preserve">https://www.insperity.com/taxonomy/domain-sales/lead-and-opportunity-scoring</t>
  </si>
  <si>
    <t xml:space="preserve">SV-12</t>
  </si>
  <si>
    <t xml:space="preserve">Pipeline management</t>
  </si>
  <si>
    <t xml:space="preserve">A service that keeps each opportunity's stage, value and next step current and reviews the pipeline.</t>
  </si>
  <si>
    <t xml:space="preserve">Sales manager</t>
  </si>
  <si>
    <t xml:space="preserve">Sales manager; Customer relationship management system</t>
  </si>
  <si>
    <t xml:space="preserve">SP-21;SP-23;SP-31;SP-41;SP-42;SP-53;SP-56</t>
  </si>
  <si>
    <t xml:space="preserve">Pipeline</t>
  </si>
  <si>
    <t xml:space="preserve">Pipeline coverage; Time in stage</t>
  </si>
  <si>
    <t xml:space="preserve">Sales plan</t>
  </si>
  <si>
    <t xml:space="preserve">commercialops:opportunity</t>
  </si>
  <si>
    <t xml:space="preserve">https://www.insperity.com/taxonomy/domain-sales/pipeline-management</t>
  </si>
  <si>
    <t xml:space="preserve">SV-13</t>
  </si>
  <si>
    <t xml:space="preserve">Sales forecasting</t>
  </si>
  <si>
    <t xml:space="preserve">A service that estimates the sales expected to close in each period.</t>
  </si>
  <si>
    <t xml:space="preserve">Sales executive</t>
  </si>
  <si>
    <t xml:space="preserve">Sales manager; Forecast model</t>
  </si>
  <si>
    <t xml:space="preserve">SP-23;SP-56</t>
  </si>
  <si>
    <t xml:space="preserve">Pipeline; Win rate</t>
  </si>
  <si>
    <t xml:space="preserve">Sales forecast</t>
  </si>
  <si>
    <t xml:space="preserve">Forecast accuracy</t>
  </si>
  <si>
    <t xml:space="preserve">https://www.insperity.com/taxonomy/domain-sales/sales-forecasting</t>
  </si>
  <si>
    <t xml:space="preserve">SV-14</t>
  </si>
  <si>
    <t xml:space="preserve">Territory and quota planning</t>
  </si>
  <si>
    <t xml:space="preserve">A service that assigns territories and sets quotas for each period.</t>
  </si>
  <si>
    <t xml:space="preserve">Sales manager; Sales representative</t>
  </si>
  <si>
    <t xml:space="preserve">Sales operations analyst</t>
  </si>
  <si>
    <t xml:space="preserve">Market structure; Prior bookings</t>
  </si>
  <si>
    <t xml:space="preserve">Territory plan; Quota</t>
  </si>
  <si>
    <t xml:space="preserve">Quota attainment spread</t>
  </si>
  <si>
    <t xml:space="preserve">https://www.insperity.com/taxonomy/domain-sales/territory-and-quota-planning</t>
  </si>
  <si>
    <t xml:space="preserve">SV-15</t>
  </si>
  <si>
    <t xml:space="preserve">Sales incentive and commission calculation</t>
  </si>
  <si>
    <t xml:space="preserve">A service that calculates the incentives and commissions earned on bookings.</t>
  </si>
  <si>
    <t xml:space="preserve">Incentive compensation system</t>
  </si>
  <si>
    <t xml:space="preserve">Billing and accounting management</t>
  </si>
  <si>
    <t xml:space="preserve">Booking; Sales incentive plan</t>
  </si>
  <si>
    <t xml:space="preserve">Commission statement</t>
  </si>
  <si>
    <t xml:space="preserve">Statement accuracy; Disputes raised</t>
  </si>
  <si>
    <t xml:space="preserve">Sales incentive plan</t>
  </si>
  <si>
    <t xml:space="preserve">https://www.insperity.com/taxonomy/domain-sales/sales-incentive-and-commission-calculation</t>
  </si>
  <si>
    <t xml:space="preserve">SV-16</t>
  </si>
  <si>
    <t xml:space="preserve">Booking and order entry</t>
  </si>
  <si>
    <t xml:space="preserve">A service that records the booking and opens the order for implementation.</t>
  </si>
  <si>
    <t xml:space="preserve">Sales representative; Client success manager</t>
  </si>
  <si>
    <t xml:space="preserve">Customer relationship management system</t>
  </si>
  <si>
    <t xml:space="preserve">SP-61;SP-62</t>
  </si>
  <si>
    <t xml:space="preserve">Order management</t>
  </si>
  <si>
    <t xml:space="preserve">Booking; Order</t>
  </si>
  <si>
    <t xml:space="preserve">Booking accuracy</t>
  </si>
  <si>
    <t xml:space="preserve">Booking rules</t>
  </si>
  <si>
    <t xml:space="preserve">commercialops:client-service-agreement</t>
  </si>
  <si>
    <t xml:space="preserve">https://www.insperity.com/taxonomy/core-services/order-entry</t>
  </si>
  <si>
    <t xml:space="preserve">https://www.insperity.com/taxonomy/domain-sales/booking-and-order-entry</t>
  </si>
  <si>
    <t xml:space="preserve">SV-17</t>
  </si>
  <si>
    <t xml:space="preserve">Sales engagement automation</t>
  </si>
  <si>
    <t xml:space="preserve">A service that runs outreach cadences and logs each contact.</t>
  </si>
  <si>
    <t xml:space="preserve">Sales engagement system</t>
  </si>
  <si>
    <t xml:space="preserve">SP-11;SP-12</t>
  </si>
  <si>
    <t xml:space="preserve">Interaction log</t>
  </si>
  <si>
    <t xml:space="preserve">Cadence; Consent requirement</t>
  </si>
  <si>
    <t xml:space="preserve">https://www.insperity.com/taxonomy/domain-sales/sales-engagement-automation</t>
  </si>
  <si>
    <t xml:space="preserve">SV-18</t>
  </si>
  <si>
    <t xml:space="preserve">Customer relationship management data stewardship</t>
  </si>
  <si>
    <t xml:space="preserve">A service that keeps account, lead and opportunity records complete, current and free of duplicates.</t>
  </si>
  <si>
    <t xml:space="preserve">Sales manager; Sales operations analyst</t>
  </si>
  <si>
    <t xml:space="preserve">Data steward</t>
  </si>
  <si>
    <t xml:space="preserve">SP-13;SP-23;SP-56;SP-57;SP-61</t>
  </si>
  <si>
    <t xml:space="preserve">Master data management</t>
  </si>
  <si>
    <t xml:space="preserve">Account; Lead; Opportunity</t>
  </si>
  <si>
    <t xml:space="preserve">Corrected records</t>
  </si>
  <si>
    <t xml:space="preserve">Completeness; Uniqueness; Timeliness</t>
  </si>
  <si>
    <t xml:space="preserve">Data quality rules</t>
  </si>
  <si>
    <t xml:space="preserve">commercialops:account</t>
  </si>
  <si>
    <t xml:space="preserve">https://www.insperity.com/taxonomy/core-services/data-stewardship</t>
  </si>
  <si>
    <t xml:space="preserve">https://www.insperity.com/taxonomy/domain-sales/customer-relationship-management-data-stewardship</t>
  </si>
  <si>
    <t xml:space="preserve">SV-20</t>
  </si>
  <si>
    <t xml:space="preserve">Sales enablement and training</t>
  </si>
  <si>
    <t xml:space="preserve">Enablement service</t>
  </si>
  <si>
    <t xml:space="preserve">A service that equips representatives with the knowledge, content and tools to sell.</t>
  </si>
  <si>
    <t xml:space="preserve">Sales enablement manager</t>
  </si>
  <si>
    <t xml:space="preserve">SP-14;SP-31;SP-35;SP-43;SP-51</t>
  </si>
  <si>
    <t xml:space="preserve">Playbooks; Content; Battlecards</t>
  </si>
  <si>
    <t xml:space="preserve">Certified representatives</t>
  </si>
  <si>
    <t xml:space="preserve">Time to first booking</t>
  </si>
  <si>
    <t xml:space="preserve">https://www.insperity.com/taxonomy/domain-sales/sales-enablement-and-training</t>
  </si>
  <si>
    <t xml:space="preserve">SV-21</t>
  </si>
  <si>
    <t xml:space="preserve">Sales advisor agent</t>
  </si>
  <si>
    <t xml:space="preserve">An automated service, delivered by a digital agent, that advises representatives at each selling step on the next best action, answers and content.</t>
  </si>
  <si>
    <t xml:space="preserve">Artificial intelligence agent (PEO Sales Advisor)</t>
  </si>
  <si>
    <t xml:space="preserve">SP-14;SP-15;SP-21;SP-33;SP-42;SP-51</t>
  </si>
  <si>
    <t xml:space="preserve">Opportunity; Job study; Battlecard; Pricing model</t>
  </si>
  <si>
    <t xml:space="preserve">Recommendations; Draft content</t>
  </si>
  <si>
    <t xml:space="preserve">Recommendation acceptance; Mean time between hallucinations</t>
  </si>
  <si>
    <t xml:space="preserve">AI circuit breaker; Responsible artificial intelligence policy</t>
  </si>
  <si>
    <t xml:space="preserve">https://www.insperity.com/taxonomy/domain-sales/sales-advisor-agent</t>
  </si>
  <si>
    <t xml:space="preserve">SV-30</t>
  </si>
  <si>
    <t xml:space="preserve">Marketing lead handoff</t>
  </si>
  <si>
    <t xml:space="preserve">Shared commercial service</t>
  </si>
  <si>
    <t xml:space="preserve">A service, provided by Marketing, that passes marketing-qualified leads to sales.</t>
  </si>
  <si>
    <t xml:space="preserve">Marketing</t>
  </si>
  <si>
    <t xml:space="preserve">Marketing automation</t>
  </si>
  <si>
    <t xml:space="preserve">Marketing-qualified lead</t>
  </si>
  <si>
    <t xml:space="preserve">Lead</t>
  </si>
  <si>
    <t xml:space="preserve">Lead acceptance rate</t>
  </si>
  <si>
    <t xml:space="preserve">commercialops:lead</t>
  </si>
  <si>
    <t xml:space="preserve">https://www.insperity.com/taxonomy/core-services/marketing-management</t>
  </si>
  <si>
    <t xml:space="preserve">https://www.insperity.com/taxonomy/domain-marketing/marketing-lead-handoff</t>
  </si>
  <si>
    <t xml:space="preserve">SV-31</t>
  </si>
  <si>
    <t xml:space="preserve">Competitive intelligence</t>
  </si>
  <si>
    <t xml:space="preserve">A service, provided by Marketing, that supplies battlecards and competitor profiles.</t>
  </si>
  <si>
    <t xml:space="preserve">Competitive intelligence analyst</t>
  </si>
  <si>
    <t xml:space="preserve">SP-35;SP-51;SP-57</t>
  </si>
  <si>
    <t xml:space="preserve">Win-loss reasons; Market research</t>
  </si>
  <si>
    <t xml:space="preserve">Battlecard; Competitor profile</t>
  </si>
  <si>
    <t xml:space="preserve">Battlecard usage; Competitive win rate</t>
  </si>
  <si>
    <t xml:space="preserve">Marketing review (Legal)</t>
  </si>
  <si>
    <t xml:space="preserve">commercialops:competitor</t>
  </si>
  <si>
    <t xml:space="preserve">https://www.insperity.com/taxonomy/core-services/competitive-analysis</t>
  </si>
  <si>
    <t xml:space="preserve">https://www.insperity.com/taxonomy/domain-marketing/competitive-intelligence</t>
  </si>
  <si>
    <t xml:space="preserve">SV-32</t>
  </si>
  <si>
    <t xml:space="preserve">Census intake</t>
  </si>
  <si>
    <t xml:space="preserve">A service, provided by Pricing and contracts, that receives, validates and protects the census.</t>
  </si>
  <si>
    <t xml:space="preserve">Pricing and contracts</t>
  </si>
  <si>
    <t xml:space="preserve">Underwriting analyst</t>
  </si>
  <si>
    <t xml:space="preserve">Data privacy</t>
  </si>
  <si>
    <t xml:space="preserve">Validated census</t>
  </si>
  <si>
    <t xml:space="preserve">Data protection norms (Legal)</t>
  </si>
  <si>
    <t xml:space="preserve">https://www.insperity.com/taxonomy/domain-pricing-and-contracts/census-intake</t>
  </si>
  <si>
    <t xml:space="preserve">SV-33</t>
  </si>
  <si>
    <t xml:space="preserve">Underwriting and quoting</t>
  </si>
  <si>
    <t xml:space="preserve">A service, provided by Pricing and contracts, that underwrites the prospect and returns a quote.</t>
  </si>
  <si>
    <t xml:space="preserve">Underwriter</t>
  </si>
  <si>
    <t xml:space="preserve">Risk management</t>
  </si>
  <si>
    <t xml:space="preserve">Validated census; Loss run; Class codes</t>
  </si>
  <si>
    <t xml:space="preserve">Quote; Underwriting decision</t>
  </si>
  <si>
    <t xml:space="preserve">https://www.insperity.com/taxonomy/core-services/pricing-management</t>
  </si>
  <si>
    <t xml:space="preserve">https://www.insperity.com/taxonomy/domain-pricing-and-contracts/underwriting-and-quoting</t>
  </si>
  <si>
    <t xml:space="preserve">SV-34</t>
  </si>
  <si>
    <t xml:space="preserve">Pricing review</t>
  </si>
  <si>
    <t xml:space="preserve">A service, provided by Pricing and contracts, that reviews and approves non-standard prices or terms.</t>
  </si>
  <si>
    <t xml:space="preserve">Pricing review board</t>
  </si>
  <si>
    <t xml:space="preserve">Exception turnaround time</t>
  </si>
  <si>
    <t xml:space="preserve">https://www.insperity.com/taxonomy/domain-pricing-and-contracts/pricing-review</t>
  </si>
  <si>
    <t xml:space="preserve">SV-35</t>
  </si>
  <si>
    <t xml:space="preserve">Contract generation and signature</t>
  </si>
  <si>
    <t xml:space="preserve">A service, provided by Pricing and contracts, that drafts the client service agreement and collects signatures.</t>
  </si>
  <si>
    <t xml:space="preserve">Sales representative; Buyer</t>
  </si>
  <si>
    <t xml:space="preserve">Contract management system</t>
  </si>
  <si>
    <t xml:space="preserve">Time to signature</t>
  </si>
  <si>
    <t xml:space="preserve">Client service agreement template</t>
  </si>
  <si>
    <t xml:space="preserve">https://www.insperity.com/taxonomy/core-services/contract-management</t>
  </si>
  <si>
    <t xml:space="preserve">https://www.insperity.com/taxonomy/domain-pricing-and-contracts/contract-generation-and-signature</t>
  </si>
  <si>
    <t xml:space="preserve">SV-36</t>
  </si>
  <si>
    <t xml:space="preserve">Contract and disclosure review</t>
  </si>
  <si>
    <t xml:space="preserve">A service, provided by Legal, that reviews non-standard agreements and the disclosures given to the buyer.</t>
  </si>
  <si>
    <t xml:space="preserve">Legal</t>
  </si>
  <si>
    <t xml:space="preserve">Counsel</t>
  </si>
  <si>
    <t xml:space="preserve">SP-43;SP-53;SP-56</t>
  </si>
  <si>
    <t xml:space="preserve">Agreed terms; Proposal</t>
  </si>
  <si>
    <t xml:space="preserve">Review decision</t>
  </si>
  <si>
    <t xml:space="preserve">Review turnaround time</t>
  </si>
  <si>
    <t xml:space="preserve">Professional employer organization law; Disclosure requirement</t>
  </si>
  <si>
    <t xml:space="preserve">commercialops:clause</t>
  </si>
  <si>
    <t xml:space="preserve">https://www.insperity.com/taxonomy/core-services/governance-services</t>
  </si>
  <si>
    <t xml:space="preserve">https://www.insperity.com/taxonomy/domain-legal/contract-and-disclosure-review</t>
  </si>
  <si>
    <t xml:space="preserve">SV-37</t>
  </si>
  <si>
    <t xml:space="preserve">Partner opportunity registration</t>
  </si>
  <si>
    <t xml:space="preserve">A service, provided by Partner and channel, that registers partner-sourced opportunities and credits the partner.</t>
  </si>
  <si>
    <t xml:space="preserve">Sales representative; Channel partner</t>
  </si>
  <si>
    <t xml:space="preserve">Partner and channel</t>
  </si>
  <si>
    <t xml:space="preserve">Partner portal</t>
  </si>
  <si>
    <t xml:space="preserve">Partner-sourced opportunity</t>
  </si>
  <si>
    <t xml:space="preserve">Registration turnaround time</t>
  </si>
  <si>
    <t xml:space="preserve">Partner program</t>
  </si>
  <si>
    <t xml:space="preserve">https://www.insperity.com/taxonomy/domain-partner-and-channel/partner-opportunity-registration</t>
  </si>
  <si>
    <t xml:space="preserve">SV-38</t>
  </si>
  <si>
    <t xml:space="preserve">Client implementation intake</t>
  </si>
  <si>
    <t xml:space="preserve">A service, provided by Customer success, that receives the handoff package and starts client onboarding.</t>
  </si>
  <si>
    <t xml:space="preserve">Customer success</t>
  </si>
  <si>
    <t xml:space="preserve">Client success manager</t>
  </si>
  <si>
    <t xml:space="preserve">Onboarding plan</t>
  </si>
  <si>
    <t xml:space="preserve">Handoff completeness; Time to first payroll</t>
  </si>
  <si>
    <t xml:space="preserve">Onboarding playbook</t>
  </si>
  <si>
    <t xml:space="preserve">https://www.insperity.com/taxonomy/core-services/onboarding-management</t>
  </si>
  <si>
    <t xml:space="preserve">https://www.insperity.com/taxonomy/domain-customer-success/client-implementation-intake</t>
  </si>
  <si>
    <t xml:space="preserve">Step</t>
  </si>
  <si>
    <t xml:space="preserve">Calculated from Services › Supports process steps. Edit that column, not this grid.</t>
  </si>
  <si>
    <t xml:space="preserve">Prospecting  (Discover)</t>
  </si>
  <si>
    <t xml:space="preserve">Outreach  (Discover)</t>
  </si>
  <si>
    <t xml:space="preserve">Lead acceptance  (Discover)</t>
  </si>
  <si>
    <t xml:space="preserve">Discovery meeting  (Discover)</t>
  </si>
  <si>
    <t xml:space="preserve">Jobs and needs capture  (Discover)</t>
  </si>
  <si>
    <t xml:space="preserve">Opportunity qualification  (Qualify)</t>
  </si>
  <si>
    <t xml:space="preserve">Employer liability review  (Qualify)</t>
  </si>
  <si>
    <t xml:space="preserve">Opportunity creation  (Qualify)</t>
  </si>
  <si>
    <t xml:space="preserve">Demonstration  (Evaluate)</t>
  </si>
  <si>
    <t xml:space="preserve">Census collection  (Evaluate)</t>
  </si>
  <si>
    <t xml:space="preserve">Total cost of employment comparison  (Evaluate)</t>
  </si>
  <si>
    <t xml:space="preserve">Benefits plan comparison  (Evaluate)</t>
  </si>
  <si>
    <t xml:space="preserve">Competitive positioning  (Evaluate)</t>
  </si>
  <si>
    <t xml:space="preserve">Quote request  (Propose)</t>
  </si>
  <si>
    <t xml:space="preserve">Proposal preparation  (Propose)</t>
  </si>
  <si>
    <t xml:space="preserve">Proposal presentation  (Propose)</t>
  </si>
  <si>
    <t xml:space="preserve">Policy and records mapping  (Propose)</t>
  </si>
  <si>
    <t xml:space="preserve">Objection handling  (Decide)</t>
  </si>
  <si>
    <t xml:space="preserve">Business case for decision makers  (Decide)</t>
  </si>
  <si>
    <t xml:space="preserve">Negotiation  (Decide)</t>
  </si>
  <si>
    <t xml:space="preserve">Pricing exception request  (Decide)</t>
  </si>
  <si>
    <t xml:space="preserve">Transition communication planning  (Decide)</t>
  </si>
  <si>
    <t xml:space="preserve">Agreement signature  (Decide)</t>
  </si>
  <si>
    <t xml:space="preserve">Win-loss capture  (Decide)</t>
  </si>
  <si>
    <t xml:space="preserve">Booking entry  (Onboard)</t>
  </si>
  <si>
    <t xml:space="preserve">Client handoff  (Onboard)</t>
  </si>
  <si>
    <t xml:space="preserve">Steps supported</t>
  </si>
  <si>
    <t xml:space="preserve">Persona</t>
  </si>
  <si>
    <t xml:space="preserve">Job</t>
  </si>
  <si>
    <t xml:space="preserve">Job step</t>
  </si>
  <si>
    <t xml:space="preserve">Buyer stage</t>
  </si>
  <si>
    <t xml:space="preserve">Owner domain</t>
  </si>
  <si>
    <t xml:space="preserve">Addressed by selling steps (calculated)</t>
  </si>
  <si>
    <t xml:space="preserve">Addressed by in-model steps (calculated)</t>
  </si>
  <si>
    <t xml:space="preserve">Coverage (calculated)</t>
  </si>
  <si>
    <t xml:space="preserve">Notes</t>
  </si>
  <si>
    <t xml:space="preserve">JS-CA-01</t>
  </si>
  <si>
    <t xml:space="preserve">Client Admin</t>
  </si>
  <si>
    <t xml:space="preserve">Decide whether a PEO is the right way to run HR for our company</t>
  </si>
  <si>
    <t xml:space="preserve">Understand what a PEO takes off my plate</t>
  </si>
  <si>
    <t xml:space="preserve">JS-CA-02</t>
  </si>
  <si>
    <t xml:space="preserve">Confirm we fit (size, industry, states)</t>
  </si>
  <si>
    <t xml:space="preserve">JS-CA-03</t>
  </si>
  <si>
    <t xml:space="preserve">Compare total cost against our current stack</t>
  </si>
  <si>
    <t xml:space="preserve">JS-CA-04</t>
  </si>
  <si>
    <t xml:space="preserve">See the co-employment split before signing</t>
  </si>
  <si>
    <t xml:space="preserve">Get sign-off from owners and finance</t>
  </si>
  <si>
    <t xml:space="preserve">JS-CA-06</t>
  </si>
  <si>
    <t xml:space="preserve">Move payroll without a missed paycheck</t>
  </si>
  <si>
    <t xml:space="preserve">Job steps after the handoff are addressed by customer success onboarding, not by selling steps.</t>
  </si>
  <si>
    <t xml:space="preserve">JS-CA-07</t>
  </si>
  <si>
    <t xml:space="preserve">Control the total cost of employing our workforce</t>
  </si>
  <si>
    <t xml:space="preserve">Establish our current all-in cost per employee</t>
  </si>
  <si>
    <t xml:space="preserve">JS-CA-08</t>
  </si>
  <si>
    <t xml:space="preserve">Project cost as headcount grows</t>
  </si>
  <si>
    <t xml:space="preserve">JS-CA-09</t>
  </si>
  <si>
    <t xml:space="preserve">Provide clean census data for quoting</t>
  </si>
  <si>
    <t xml:space="preserve">JS-CA-10</t>
  </si>
  <si>
    <t xml:space="preserve">Budget for the first year after go-live</t>
  </si>
  <si>
    <t xml:space="preserve">JS-CA-11</t>
  </si>
  <si>
    <t xml:space="preserve">Keep the business protected from employer liability</t>
  </si>
  <si>
    <t xml:space="preserve">Inventory the employer liabilities we carry today</t>
  </si>
  <si>
    <t xml:space="preserve">JS-CA-12</t>
  </si>
  <si>
    <t xml:space="preserve">Confirm which liabilities move under co-employment</t>
  </si>
  <si>
    <t xml:space="preserve">JS-CA-13</t>
  </si>
  <si>
    <t xml:space="preserve">Confirm tax accounts and filings transfer correctly</t>
  </si>
  <si>
    <t xml:space="preserve">JS-CA-14</t>
  </si>
  <si>
    <t xml:space="preserve">Protect employee data shared during the sale</t>
  </si>
  <si>
    <t xml:space="preserve">JS-HR-01</t>
  </si>
  <si>
    <t xml:space="preserve">HR Specialist</t>
  </si>
  <si>
    <t xml:space="preserve">Make sure the move to a PEO leaves us compliant and our people covered</t>
  </si>
  <si>
    <t xml:space="preserve">Find where we carry compliance risk today</t>
  </si>
  <si>
    <t xml:space="preserve">JS-HR-02</t>
  </si>
  <si>
    <t xml:space="preserve">Check coverage for every state we hire in</t>
  </si>
  <si>
    <t xml:space="preserve">Compare benefit plans employees will see</t>
  </si>
  <si>
    <t xml:space="preserve">JS-HR-04</t>
  </si>
  <si>
    <t xml:space="preserve">Map our handbook to PEO policy</t>
  </si>
  <si>
    <t xml:space="preserve">JS-HR-05</t>
  </si>
  <si>
    <t xml:space="preserve">Show leadership the risk we remove</t>
  </si>
  <si>
    <t xml:space="preserve">JS-HR-06</t>
  </si>
  <si>
    <t xml:space="preserve">Re-enroll employees with no coverage gap</t>
  </si>
  <si>
    <t xml:space="preserve">Keep employees informed and confident through the change</t>
  </si>
  <si>
    <t xml:space="preserve">Plan employee communications</t>
  </si>
  <si>
    <t xml:space="preserve">JS-HR-08</t>
  </si>
  <si>
    <t xml:space="preserve">Answer employee questions during the switch</t>
  </si>
  <si>
    <t xml:space="preserve">JS-HR-09</t>
  </si>
  <si>
    <t xml:space="preserve">Track enrollment progress</t>
  </si>
  <si>
    <t xml:space="preserve">JS-HR-10</t>
  </si>
  <si>
    <t xml:space="preserve">Gauge employee sentiment after the first payroll</t>
  </si>
  <si>
    <t xml:space="preserve">JS-HR-11</t>
  </si>
  <si>
    <t xml:space="preserve">Keep HR records and policies intact through the transition</t>
  </si>
  <si>
    <t xml:space="preserve">Inventory the HR records and data to move</t>
  </si>
  <si>
    <t xml:space="preserve">JS-HR-12</t>
  </si>
  <si>
    <t xml:space="preserve">Transfer records securely</t>
  </si>
  <si>
    <t xml:space="preserve">JS-HR-13</t>
  </si>
  <si>
    <t xml:space="preserve">Carry over leave and PTO balances</t>
  </si>
  <si>
    <t xml:space="preserve">JS-HR-14</t>
  </si>
  <si>
    <t xml:space="preserve">Keep required postings and notices current</t>
  </si>
  <si>
    <t xml:space="preserve">Measure</t>
  </si>
  <si>
    <t xml:space="preserve">Calculation</t>
  </si>
  <si>
    <t xml:space="preserve">Unit</t>
  </si>
  <si>
    <t xml:space="preserve">Measures (process IDs)</t>
  </si>
  <si>
    <t xml:space="preserve">SM-01</t>
  </si>
  <si>
    <t xml:space="preserve">Win rate</t>
  </si>
  <si>
    <t xml:space="preserve">The share of closed opportunities that ended in a win.</t>
  </si>
  <si>
    <t xml:space="preserve">Won opportunities ÷ (won + lost opportunities) in the period</t>
  </si>
  <si>
    <t xml:space="preserve">Percent</t>
  </si>
  <si>
    <t xml:space="preserve">SP-00;SP-56</t>
  </si>
  <si>
    <t xml:space="preserve">https://www.insperity.com/taxonomy/domain-commercial-operations/win-rate</t>
  </si>
  <si>
    <t xml:space="preserve">SM-02</t>
  </si>
  <si>
    <t xml:space="preserve">Sales cycle length</t>
  </si>
  <si>
    <t xml:space="preserve">The time from the creation of an opportunity to its win or loss.</t>
  </si>
  <si>
    <t xml:space="preserve">Mean of (close date − creation date) for opportunities closed in the period</t>
  </si>
  <si>
    <t xml:space="preserve">Days</t>
  </si>
  <si>
    <t xml:space="preserve">https://www.insperity.com/taxonomy/domain-sales/sales-cycle-length</t>
  </si>
  <si>
    <t xml:space="preserve">SM-03</t>
  </si>
  <si>
    <t xml:space="preserve">Pipeline coverage</t>
  </si>
  <si>
    <t xml:space="preserve">The value of open opportunities relative to the target for the period.</t>
  </si>
  <si>
    <t xml:space="preserve">Open pipeline (worksite employees or value) ÷ quota for the period</t>
  </si>
  <si>
    <t xml:space="preserve">Ratio</t>
  </si>
  <si>
    <t xml:space="preserve">https://www.insperity.com/taxonomy/domain-commercial-operations/pipeline-coverage</t>
  </si>
  <si>
    <t xml:space="preserve">SM-04</t>
  </si>
  <si>
    <t xml:space="preserve">Quota attainment</t>
  </si>
  <si>
    <t xml:space="preserve">The sales achieved in a period relative to quota.</t>
  </si>
  <si>
    <t xml:space="preserve">Worksite employees sold ÷ quota</t>
  </si>
  <si>
    <t xml:space="preserve">https://www.insperity.com/taxonomy/domain-sales/quota-attainment</t>
  </si>
  <si>
    <t xml:space="preserve">SM-05</t>
  </si>
  <si>
    <t xml:space="preserve">Worksite employees sold</t>
  </si>
  <si>
    <t xml:space="preserve">The number of worksite employees covered by the agreements signed in a period.</t>
  </si>
  <si>
    <t xml:space="preserve">Sum of worksite employees on agreements executed in the period</t>
  </si>
  <si>
    <t xml:space="preserve">Worksite employees</t>
  </si>
  <si>
    <t xml:space="preserve">SP-56;SP-61</t>
  </si>
  <si>
    <t xml:space="preserve">https://www.insperity.com/taxonomy/domain-sales/worksite-employees-sold</t>
  </si>
  <si>
    <t xml:space="preserve">SM-06</t>
  </si>
  <si>
    <t xml:space="preserve">Average opportunity size</t>
  </si>
  <si>
    <t xml:space="preserve">The mean number of worksite employees of won opportunities.</t>
  </si>
  <si>
    <t xml:space="preserve">Worksite employees sold ÷ won opportunities</t>
  </si>
  <si>
    <t xml:space="preserve">https://www.insperity.com/taxonomy/domain-sales/average-opportunity-size</t>
  </si>
  <si>
    <t xml:space="preserve">SM-07</t>
  </si>
  <si>
    <t xml:space="preserve">The sales expected to close in a future period.</t>
  </si>
  <si>
    <t xml:space="preserve">Σ (opportunity size × stage probability) for opportunities expected to close in the period</t>
  </si>
  <si>
    <t xml:space="preserve">https://www.insperity.com/taxonomy/domain-sales/sales-forecast</t>
  </si>
  <si>
    <t xml:space="preserve">SM-08</t>
  </si>
  <si>
    <t xml:space="preserve">Stage conversion rate</t>
  </si>
  <si>
    <t xml:space="preserve">The share of opportunities entering a selling stage that reach the next one.</t>
  </si>
  <si>
    <t xml:space="preserve">Opportunities reaching stage n+1 ÷ opportunities entering stage n</t>
  </si>
  <si>
    <t xml:space="preserve">SP-10;SP-20;SP-30;SP-40;SP-50</t>
  </si>
  <si>
    <t xml:space="preserve">https://www.insperity.com/taxonomy/domain-sales/stage-conversion-rate</t>
  </si>
  <si>
    <t xml:space="preserve">SM-09</t>
  </si>
  <si>
    <t xml:space="preserve">Time in stage</t>
  </si>
  <si>
    <t xml:space="preserve">The time an opportunity spends in a selling stage.</t>
  </si>
  <si>
    <t xml:space="preserve">Mean of (stage exit date − stage entry date)</t>
  </si>
  <si>
    <t xml:space="preserve">https://www.insperity.com/taxonomy/domain-sales/time-in-stage</t>
  </si>
  <si>
    <t xml:space="preserve">SM-10</t>
  </si>
  <si>
    <t xml:space="preserve">The time from a lead's handoff to sales to the first contact.</t>
  </si>
  <si>
    <t xml:space="preserve">Mean of (first contact time − handoff time)</t>
  </si>
  <si>
    <t xml:space="preserve">Hours</t>
  </si>
  <si>
    <t xml:space="preserve">https://www.insperity.com/taxonomy/domain-sales/speed-to-lead</t>
  </si>
  <si>
    <t xml:space="preserve">SM-11</t>
  </si>
  <si>
    <t xml:space="preserve">The time from a quote request to the quote's return.</t>
  </si>
  <si>
    <t xml:space="preserve">Mean of (quote returned − quote requested)</t>
  </si>
  <si>
    <t xml:space="preserve">Business days</t>
  </si>
  <si>
    <t xml:space="preserve">https://www.insperity.com/taxonomy/domain-sales/quote-turnaround-time</t>
  </si>
  <si>
    <t xml:space="preserve">SM-12</t>
  </si>
  <si>
    <t xml:space="preserve">Handoff completeness</t>
  </si>
  <si>
    <t xml:space="preserve">The share of client handoffs delivered with every required item of the handoff package.</t>
  </si>
  <si>
    <t xml:space="preserve">Handoffs with all required items ÷ all handoffs</t>
  </si>
  <si>
    <t xml:space="preserve">https://www.insperity.com/taxonomy/domain-sales/handoff-completeness</t>
  </si>
  <si>
    <t xml:space="preserve">SM-13</t>
  </si>
  <si>
    <t xml:space="preserve">Job step coverage</t>
  </si>
  <si>
    <t xml:space="preserve">The share of the buyer personas' sales-owned job steps that at least one selling step addresses.</t>
  </si>
  <si>
    <t xml:space="preserve">Computed on the Job steps sheet</t>
  </si>
  <si>
    <t xml:space="preserve">https://www.insperity.com/taxonomy/domain-sales/job-step-coverage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</si>
</sst>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0"/>
      <color rgb="FF5B6675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0"/>
      <color rgb="FF1B24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B2430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8EDF3"/>
        <bgColor rgb="FFEEF3F8"/>
      </patternFill>
    </fill>
    <fill>
      <patternFill patternType="solid">
        <fgColor rgb="FF1F3A5F"/>
        <bgColor rgb="FF333399"/>
      </patternFill>
    </fill>
    <fill>
      <patternFill patternType="solid">
        <fgColor rgb="FFDCE6F0"/>
        <bgColor rgb="FFE8EDF3"/>
      </patternFill>
    </fill>
    <fill>
      <patternFill patternType="solid">
        <fgColor rgb="FFEEF3F8"/>
        <bgColor rgb="FFE8ED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D"/>
      </bottom>
      <diagonal/>
    </border>
    <border diagonalUp="false" diagonalDown="false">
      <left style="thin">
        <color rgb="FFC9D2DD"/>
      </left>
      <right/>
      <top/>
      <bottom style="thin">
        <color rgb="FFC9D2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4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6F0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EDF3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fgColor rgb="FFD9EFD9"/>
          <bgColor rgb="FF000000"/>
        </patternFill>
      </fill>
    </dxf>
    <dxf>
      <fill>
        <patternFill patternType="solid">
          <fgColor rgb="FFFFF0C2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0C2"/>
        </patternFill>
      </fill>
    </dxf>
    <dxf>
      <fill>
        <patternFill>
          <bgColor rgb="FFD9EF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E6F0"/>
      <rgbColor rgb="FF808080"/>
      <rgbColor rgb="FF9999FF"/>
      <rgbColor rgb="FF993366"/>
      <rgbColor rgb="FFFFF0C2"/>
      <rgbColor rgb="FFEEF3F8"/>
      <rgbColor rgb="FF660066"/>
      <rgbColor rgb="FFFF8080"/>
      <rgbColor rgb="FF0066CC"/>
      <rgbColor rgb="FFC9D2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3"/>
      <rgbColor rgb="FFD9EFD9"/>
      <rgbColor rgb="FFFCE4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</row>
    <row r="6" customFormat="false" ht="42" hidden="false" customHeight="true" outlineLevel="0" collapsed="false">
      <c r="A6" s="4" t="s">
        <v>4</v>
      </c>
      <c r="B6" s="4"/>
      <c r="C6" s="4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5" t="s">
        <v>6</v>
      </c>
      <c r="B9" s="6" t="n">
        <f aca="false">COUNTIF(Processes!$F$2:$F$34,"Selling step")</f>
        <v>26</v>
      </c>
      <c r="C9" s="5" t="s">
        <v>7</v>
      </c>
    </row>
    <row r="10" customFormat="false" ht="15" hidden="false" customHeight="false" outlineLevel="0" collapsed="false">
      <c r="A10" s="5" t="s">
        <v>8</v>
      </c>
      <c r="B10" s="6" t="n">
        <f aca="false">COUNTIFS(Processes!$F$2:$F$34,"Selling step",Processes!$T$2:$T$34,"In model")</f>
        <v>8</v>
      </c>
      <c r="C10" s="5" t="s">
        <v>9</v>
      </c>
    </row>
    <row r="11" customFormat="false" ht="15" hidden="false" customHeight="false" outlineLevel="0" collapsed="false">
      <c r="A11" s="5" t="s">
        <v>10</v>
      </c>
      <c r="B11" s="6" t="n">
        <f aca="false">COUNTIFS(Processes!$F$2:$F$34,"Selling step",Processes!$T$2:$T$34,"Proposed")</f>
        <v>18</v>
      </c>
      <c r="C11" s="5" t="s">
        <v>11</v>
      </c>
    </row>
    <row r="12" customFormat="false" ht="15" hidden="false" customHeight="false" outlineLevel="0" collapsed="false">
      <c r="A12" s="5" t="s">
        <v>12</v>
      </c>
      <c r="B12" s="6" t="n">
        <f aca="false">COUNTA(Services!$A$2:$A$27)</f>
        <v>26</v>
      </c>
      <c r="C12" s="5"/>
    </row>
    <row r="13" customFormat="false" ht="15" hidden="false" customHeight="false" outlineLevel="0" collapsed="false">
      <c r="A13" s="5" t="s">
        <v>13</v>
      </c>
      <c r="B13" s="6" t="n">
        <f aca="false">COUNTIF(Services!$F$2:$F$27,"Sales")+COUNTIF(Services!$F$2:$F$27,"Sales operations")</f>
        <v>17</v>
      </c>
      <c r="C13" s="5"/>
    </row>
    <row r="14" customFormat="false" ht="23.85" hidden="false" customHeight="false" outlineLevel="0" collapsed="false">
      <c r="A14" s="5" t="s">
        <v>14</v>
      </c>
      <c r="B14" s="6" t="n">
        <f aca="false">COUNTIF(Services!$C$2:$C$27,"Shared commercial service")</f>
        <v>9</v>
      </c>
      <c r="C14" s="5" t="s">
        <v>15</v>
      </c>
    </row>
    <row r="15" customFormat="false" ht="15" hidden="false" customHeight="false" outlineLevel="0" collapsed="false">
      <c r="A15" s="5" t="s">
        <v>16</v>
      </c>
      <c r="B15" s="6" t="n">
        <f aca="false">COUNTIF(Services!$G$2:$G$27,"Automated")+COUNTIF(Services!$G$2:$G$27,"Hybrid")</f>
        <v>20</v>
      </c>
      <c r="C15" s="5" t="s">
        <v>17</v>
      </c>
    </row>
    <row r="16" customFormat="false" ht="15" hidden="false" customHeight="false" outlineLevel="0" collapsed="false">
      <c r="A16" s="5" t="s">
        <v>18</v>
      </c>
      <c r="B16" s="6" t="n">
        <f aca="false">COUNTIFS(Processes!$F$2:$F$34,"Selling step",Processes!$U$2:$U$34,0)</f>
        <v>0</v>
      </c>
      <c r="C16" s="5" t="s">
        <v>19</v>
      </c>
    </row>
    <row r="17" customFormat="false" ht="15" hidden="false" customHeight="false" outlineLevel="0" collapsed="false">
      <c r="A17" s="5" t="s">
        <v>20</v>
      </c>
      <c r="B17" s="6" t="n">
        <f aca="false">COUNTIF('Job steps'!$F$2:$F$29,"Sales")</f>
        <v>18</v>
      </c>
      <c r="C17" s="5" t="s">
        <v>21</v>
      </c>
    </row>
    <row r="18" customFormat="false" ht="15" hidden="false" customHeight="false" outlineLevel="0" collapsed="false">
      <c r="A18" s="5" t="s">
        <v>22</v>
      </c>
      <c r="B18" s="6" t="n">
        <f aca="false">COUNTIFS('Job steps'!$F$2:$F$29,"Sales",'Job steps'!$H$2:$H$29,"&gt;0")</f>
        <v>4</v>
      </c>
      <c r="C18" s="5"/>
    </row>
    <row r="19" customFormat="false" ht="15" hidden="false" customHeight="false" outlineLevel="0" collapsed="false">
      <c r="A19" s="5" t="s">
        <v>23</v>
      </c>
      <c r="B19" s="6" t="n">
        <f aca="false">COUNTIFS('Job steps'!$F$2:$F$29,"Sales",'Job steps'!$G$2:$G$29,"&gt;0")</f>
        <v>18</v>
      </c>
      <c r="C19" s="5"/>
    </row>
    <row r="20" customFormat="false" ht="15" hidden="false" customHeight="false" outlineLevel="0" collapsed="false">
      <c r="A20" s="5" t="s">
        <v>24</v>
      </c>
      <c r="B20" s="6" t="n">
        <f aca="false">COUNTIF('Job steps'!$I$2:$I$29,"Value gap")</f>
        <v>0</v>
      </c>
      <c r="C20" s="5"/>
    </row>
    <row r="21" customFormat="false" ht="15" hidden="false" customHeight="false" outlineLevel="0" collapsed="false">
      <c r="A21" s="5" t="s">
        <v>25</v>
      </c>
      <c r="B21" s="7" t="n">
        <f aca="false">IF(B17=0,0,B18/B17)</f>
        <v>0.222222222222222</v>
      </c>
      <c r="C21" s="5" t="s">
        <v>26</v>
      </c>
    </row>
    <row r="22" customFormat="false" ht="15" hidden="false" customHeight="false" outlineLevel="0" collapsed="false">
      <c r="A22" s="5" t="s">
        <v>27</v>
      </c>
      <c r="B22" s="7" t="n">
        <f aca="false">IF(B17=0,0,B19/B17)</f>
        <v>1</v>
      </c>
      <c r="C22" s="5" t="s">
        <v>28</v>
      </c>
    </row>
    <row r="24" customFormat="false" ht="15" hidden="false" customHeight="false" outlineLevel="0" collapsed="false">
      <c r="A24" s="3" t="s">
        <v>29</v>
      </c>
    </row>
    <row r="25" customFormat="false" ht="30" hidden="false" customHeight="true" outlineLevel="0" collapsed="false">
      <c r="A25" s="8" t="s">
        <v>30</v>
      </c>
      <c r="B25" s="4" t="s">
        <v>31</v>
      </c>
      <c r="C25" s="4"/>
    </row>
    <row r="26" customFormat="false" ht="30" hidden="false" customHeight="true" outlineLevel="0" collapsed="false">
      <c r="A26" s="8" t="s">
        <v>32</v>
      </c>
      <c r="B26" s="4" t="s">
        <v>33</v>
      </c>
      <c r="C26" s="4"/>
    </row>
    <row r="27" customFormat="false" ht="30" hidden="false" customHeight="true" outlineLevel="0" collapsed="false">
      <c r="A27" s="8" t="s">
        <v>34</v>
      </c>
      <c r="B27" s="4" t="s">
        <v>35</v>
      </c>
      <c r="C27" s="4"/>
    </row>
    <row r="28" customFormat="false" ht="30" hidden="false" customHeight="true" outlineLevel="0" collapsed="false">
      <c r="A28" s="8" t="s">
        <v>36</v>
      </c>
      <c r="B28" s="4" t="s">
        <v>37</v>
      </c>
      <c r="C28" s="4"/>
    </row>
    <row r="29" customFormat="false" ht="30" hidden="false" customHeight="true" outlineLevel="0" collapsed="false">
      <c r="A29" s="8" t="s">
        <v>38</v>
      </c>
      <c r="B29" s="4" t="s">
        <v>39</v>
      </c>
      <c r="C29" s="4"/>
    </row>
    <row r="30" customFormat="false" ht="30" hidden="false" customHeight="true" outlineLevel="0" collapsed="false">
      <c r="A30" s="8" t="s">
        <v>40</v>
      </c>
      <c r="B30" s="4" t="s">
        <v>41</v>
      </c>
      <c r="C30" s="4"/>
    </row>
    <row r="32" customFormat="false" ht="15" hidden="false" customHeight="false" outlineLevel="0" collapsed="false">
      <c r="A32" s="3" t="s">
        <v>42</v>
      </c>
    </row>
    <row r="33" customFormat="false" ht="43.5" hidden="false" customHeight="true" outlineLevel="0" collapsed="false">
      <c r="A33" s="8" t="s">
        <v>43</v>
      </c>
      <c r="B33" s="4" t="s">
        <v>44</v>
      </c>
      <c r="C33" s="4"/>
    </row>
    <row r="34" customFormat="false" ht="43.5" hidden="false" customHeight="true" outlineLevel="0" collapsed="false">
      <c r="A34" s="8" t="s">
        <v>45</v>
      </c>
      <c r="B34" s="4" t="s">
        <v>46</v>
      </c>
      <c r="C34" s="4"/>
    </row>
    <row r="35" customFormat="false" ht="43.5" hidden="false" customHeight="true" outlineLevel="0" collapsed="false">
      <c r="A35" s="8" t="s">
        <v>47</v>
      </c>
      <c r="B35" s="4" t="s">
        <v>48</v>
      </c>
      <c r="C35" s="4"/>
    </row>
    <row r="36" customFormat="false" ht="43.5" hidden="false" customHeight="true" outlineLevel="0" collapsed="false">
      <c r="A36" s="8" t="s">
        <v>49</v>
      </c>
      <c r="B36" s="4" t="s">
        <v>50</v>
      </c>
      <c r="C36" s="4"/>
    </row>
    <row r="37" customFormat="false" ht="43.5" hidden="false" customHeight="true" outlineLevel="0" collapsed="false">
      <c r="A37" s="8" t="s">
        <v>51</v>
      </c>
      <c r="B37" s="4" t="s">
        <v>52</v>
      </c>
      <c r="C37" s="4"/>
    </row>
  </sheetData>
  <mergeCells count="14">
    <mergeCell ref="A2:C2"/>
    <mergeCell ref="A5:C5"/>
    <mergeCell ref="A6:C6"/>
    <mergeCell ref="B25:C25"/>
    <mergeCell ref="B26:C26"/>
    <mergeCell ref="B27:C27"/>
    <mergeCell ref="B28:C28"/>
    <mergeCell ref="B29:C29"/>
    <mergeCell ref="B30:C30"/>
    <mergeCell ref="B33:C33"/>
    <mergeCell ref="B34:C34"/>
    <mergeCell ref="B35:C35"/>
    <mergeCell ref="B36:C36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60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1" min="10" style="0" width="32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28"/>
    <col collapsed="false" customWidth="true" hidden="false" outlineLevel="0" max="16" min="16" style="0" width="18"/>
    <col collapsed="false" customWidth="true" hidden="false" outlineLevel="0" max="17" min="17" style="0" width="52"/>
    <col collapsed="false" customWidth="true" hidden="false" outlineLevel="0" max="18" min="18" style="0" width="40"/>
    <col collapsed="false" customWidth="true" hidden="false" outlineLevel="0" max="19" min="19" style="0" width="26"/>
    <col collapsed="false" customWidth="true" hidden="false" outlineLevel="0" max="20" min="20" style="0" width="10"/>
    <col collapsed="false" customWidth="true" hidden="false" outlineLevel="0" max="21" min="21" style="0" width="12"/>
  </cols>
  <sheetData>
    <row r="1" customFormat="false" ht="31.5" hidden="false" customHeight="true" outlineLevel="0" collapsed="false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32</v>
      </c>
      <c r="G1" s="9" t="s">
        <v>58</v>
      </c>
      <c r="H1" s="9" t="s">
        <v>59</v>
      </c>
      <c r="I1" s="9" t="s">
        <v>34</v>
      </c>
      <c r="J1" s="9" t="s">
        <v>60</v>
      </c>
      <c r="K1" s="9" t="s">
        <v>61</v>
      </c>
      <c r="L1" s="9" t="s">
        <v>36</v>
      </c>
      <c r="M1" s="9" t="s">
        <v>62</v>
      </c>
      <c r="N1" s="9" t="s">
        <v>63</v>
      </c>
      <c r="O1" s="9" t="s">
        <v>64</v>
      </c>
      <c r="P1" s="9" t="s">
        <v>65</v>
      </c>
      <c r="Q1" s="9" t="s">
        <v>66</v>
      </c>
      <c r="R1" s="9" t="s">
        <v>67</v>
      </c>
      <c r="S1" s="9" t="s">
        <v>68</v>
      </c>
      <c r="T1" s="9" t="s">
        <v>30</v>
      </c>
      <c r="U1" s="9" t="s">
        <v>69</v>
      </c>
    </row>
    <row r="2" customFormat="false" ht="23.85" hidden="false" customHeight="false" outlineLevel="0" collapsed="false">
      <c r="A2" s="10" t="s">
        <v>70</v>
      </c>
      <c r="B2" s="10" t="n">
        <v>0</v>
      </c>
      <c r="C2" s="11" t="s">
        <v>71</v>
      </c>
      <c r="D2" s="10"/>
      <c r="E2" s="10"/>
      <c r="F2" s="10" t="s">
        <v>55</v>
      </c>
      <c r="G2" s="10" t="s">
        <v>72</v>
      </c>
      <c r="H2" s="10" t="s">
        <v>73</v>
      </c>
      <c r="I2" s="10" t="s">
        <v>74</v>
      </c>
      <c r="J2" s="10" t="s">
        <v>75</v>
      </c>
      <c r="K2" s="10" t="s">
        <v>76</v>
      </c>
      <c r="L2" s="10"/>
      <c r="M2" s="10" t="s">
        <v>77</v>
      </c>
      <c r="N2" s="10" t="s">
        <v>78</v>
      </c>
      <c r="O2" s="10" t="s">
        <v>79</v>
      </c>
      <c r="P2" s="10" t="s">
        <v>80</v>
      </c>
      <c r="Q2" s="10" t="s">
        <v>81</v>
      </c>
      <c r="R2" s="10" t="s">
        <v>82</v>
      </c>
      <c r="S2" s="10"/>
      <c r="T2" s="10" t="s">
        <v>83</v>
      </c>
      <c r="U2" s="12" t="n">
        <f aca="false">COUNTIF(Services!$I$2:$I$200,"*"&amp;A2&amp;"*")</f>
        <v>0</v>
      </c>
    </row>
    <row r="3" customFormat="false" ht="23.85" hidden="false" customHeight="false" outlineLevel="0" collapsed="false">
      <c r="A3" s="13" t="s">
        <v>84</v>
      </c>
      <c r="B3" s="13" t="n">
        <v>1</v>
      </c>
      <c r="C3" s="14" t="s">
        <v>85</v>
      </c>
      <c r="D3" s="13" t="s">
        <v>70</v>
      </c>
      <c r="E3" s="13" t="s">
        <v>85</v>
      </c>
      <c r="F3" s="13" t="s">
        <v>57</v>
      </c>
      <c r="G3" s="13" t="s">
        <v>86</v>
      </c>
      <c r="H3" s="13"/>
      <c r="I3" s="13"/>
      <c r="J3" s="13"/>
      <c r="K3" s="13"/>
      <c r="L3" s="13"/>
      <c r="M3" s="13"/>
      <c r="N3" s="13"/>
      <c r="O3" s="13" t="s">
        <v>87</v>
      </c>
      <c r="P3" s="13" t="s">
        <v>88</v>
      </c>
      <c r="Q3" s="13" t="s">
        <v>89</v>
      </c>
      <c r="R3" s="13" t="s">
        <v>90</v>
      </c>
      <c r="S3" s="13"/>
      <c r="T3" s="13" t="s">
        <v>83</v>
      </c>
      <c r="U3" s="12" t="n">
        <f aca="false">COUNTIF(Services!$I$2:$I$200,"*"&amp;A3&amp;"*")</f>
        <v>0</v>
      </c>
    </row>
    <row r="4" customFormat="false" ht="23.85" hidden="false" customHeight="false" outlineLevel="0" collapsed="false">
      <c r="A4" s="13" t="s">
        <v>91</v>
      </c>
      <c r="B4" s="13" t="n">
        <v>1</v>
      </c>
      <c r="C4" s="14" t="s">
        <v>92</v>
      </c>
      <c r="D4" s="13" t="s">
        <v>70</v>
      </c>
      <c r="E4" s="13" t="s">
        <v>92</v>
      </c>
      <c r="F4" s="13" t="s">
        <v>57</v>
      </c>
      <c r="G4" s="13" t="s">
        <v>93</v>
      </c>
      <c r="H4" s="13"/>
      <c r="I4" s="13"/>
      <c r="J4" s="13"/>
      <c r="K4" s="13"/>
      <c r="L4" s="13"/>
      <c r="M4" s="13"/>
      <c r="N4" s="13"/>
      <c r="O4" s="13" t="s">
        <v>87</v>
      </c>
      <c r="P4" s="13" t="s">
        <v>88</v>
      </c>
      <c r="Q4" s="13" t="s">
        <v>94</v>
      </c>
      <c r="R4" s="13" t="s">
        <v>95</v>
      </c>
      <c r="S4" s="13"/>
      <c r="T4" s="13" t="s">
        <v>83</v>
      </c>
      <c r="U4" s="12" t="n">
        <f aca="false">COUNTIF(Services!$I$2:$I$200,"*"&amp;A4&amp;"*")</f>
        <v>0</v>
      </c>
    </row>
    <row r="5" customFormat="false" ht="23.85" hidden="false" customHeight="false" outlineLevel="0" collapsed="false">
      <c r="A5" s="13" t="s">
        <v>96</v>
      </c>
      <c r="B5" s="13" t="n">
        <v>1</v>
      </c>
      <c r="C5" s="14" t="s">
        <v>97</v>
      </c>
      <c r="D5" s="13" t="s">
        <v>70</v>
      </c>
      <c r="E5" s="13" t="s">
        <v>97</v>
      </c>
      <c r="F5" s="13" t="s">
        <v>57</v>
      </c>
      <c r="G5" s="13" t="s">
        <v>98</v>
      </c>
      <c r="H5" s="13"/>
      <c r="I5" s="13"/>
      <c r="J5" s="13"/>
      <c r="K5" s="13"/>
      <c r="L5" s="13"/>
      <c r="M5" s="13"/>
      <c r="N5" s="13"/>
      <c r="O5" s="13" t="s">
        <v>87</v>
      </c>
      <c r="P5" s="13" t="s">
        <v>88</v>
      </c>
      <c r="Q5" s="13" t="s">
        <v>99</v>
      </c>
      <c r="R5" s="13" t="s">
        <v>100</v>
      </c>
      <c r="S5" s="13"/>
      <c r="T5" s="13" t="s">
        <v>83</v>
      </c>
      <c r="U5" s="12" t="n">
        <f aca="false">COUNTIF(Services!$I$2:$I$200,"*"&amp;A5&amp;"*")</f>
        <v>0</v>
      </c>
    </row>
    <row r="6" customFormat="false" ht="23.85" hidden="false" customHeight="false" outlineLevel="0" collapsed="false">
      <c r="A6" s="13" t="s">
        <v>101</v>
      </c>
      <c r="B6" s="13" t="n">
        <v>1</v>
      </c>
      <c r="C6" s="14" t="s">
        <v>102</v>
      </c>
      <c r="D6" s="13" t="s">
        <v>70</v>
      </c>
      <c r="E6" s="13" t="s">
        <v>102</v>
      </c>
      <c r="F6" s="13" t="s">
        <v>57</v>
      </c>
      <c r="G6" s="13" t="s">
        <v>103</v>
      </c>
      <c r="H6" s="13"/>
      <c r="I6" s="13"/>
      <c r="J6" s="13"/>
      <c r="K6" s="13"/>
      <c r="L6" s="13"/>
      <c r="M6" s="13"/>
      <c r="N6" s="13"/>
      <c r="O6" s="13" t="s">
        <v>87</v>
      </c>
      <c r="P6" s="13" t="s">
        <v>88</v>
      </c>
      <c r="Q6" s="13" t="s">
        <v>104</v>
      </c>
      <c r="R6" s="13" t="s">
        <v>105</v>
      </c>
      <c r="S6" s="13"/>
      <c r="T6" s="13" t="s">
        <v>83</v>
      </c>
      <c r="U6" s="12" t="n">
        <f aca="false">COUNTIF(Services!$I$2:$I$200,"*"&amp;A6&amp;"*")</f>
        <v>0</v>
      </c>
    </row>
    <row r="7" customFormat="false" ht="23.85" hidden="false" customHeight="false" outlineLevel="0" collapsed="false">
      <c r="A7" s="13" t="s">
        <v>106</v>
      </c>
      <c r="B7" s="13" t="n">
        <v>1</v>
      </c>
      <c r="C7" s="14" t="s">
        <v>107</v>
      </c>
      <c r="D7" s="13" t="s">
        <v>70</v>
      </c>
      <c r="E7" s="13" t="s">
        <v>107</v>
      </c>
      <c r="F7" s="13" t="s">
        <v>57</v>
      </c>
      <c r="G7" s="13" t="s">
        <v>108</v>
      </c>
      <c r="H7" s="13"/>
      <c r="I7" s="13"/>
      <c r="J7" s="13"/>
      <c r="K7" s="13"/>
      <c r="L7" s="13"/>
      <c r="M7" s="13"/>
      <c r="N7" s="13"/>
      <c r="O7" s="13" t="s">
        <v>87</v>
      </c>
      <c r="P7" s="13" t="s">
        <v>88</v>
      </c>
      <c r="Q7" s="13" t="s">
        <v>109</v>
      </c>
      <c r="R7" s="13" t="s">
        <v>110</v>
      </c>
      <c r="S7" s="13"/>
      <c r="T7" s="13" t="s">
        <v>83</v>
      </c>
      <c r="U7" s="12" t="n">
        <f aca="false">COUNTIF(Services!$I$2:$I$200,"*"&amp;A7&amp;"*")</f>
        <v>0</v>
      </c>
    </row>
    <row r="8" customFormat="false" ht="23.85" hidden="false" customHeight="false" outlineLevel="0" collapsed="false">
      <c r="A8" s="13" t="s">
        <v>111</v>
      </c>
      <c r="B8" s="13" t="n">
        <v>1</v>
      </c>
      <c r="C8" s="14" t="s">
        <v>112</v>
      </c>
      <c r="D8" s="13" t="s">
        <v>70</v>
      </c>
      <c r="E8" s="13" t="s">
        <v>112</v>
      </c>
      <c r="F8" s="13" t="s">
        <v>57</v>
      </c>
      <c r="G8" s="13" t="s">
        <v>113</v>
      </c>
      <c r="H8" s="13"/>
      <c r="I8" s="13"/>
      <c r="J8" s="13"/>
      <c r="K8" s="13"/>
      <c r="L8" s="13"/>
      <c r="M8" s="13"/>
      <c r="N8" s="13"/>
      <c r="O8" s="13" t="s">
        <v>87</v>
      </c>
      <c r="P8" s="13" t="s">
        <v>88</v>
      </c>
      <c r="Q8" s="13" t="s">
        <v>114</v>
      </c>
      <c r="R8" s="13" t="s">
        <v>115</v>
      </c>
      <c r="S8" s="13"/>
      <c r="T8" s="13" t="s">
        <v>83</v>
      </c>
      <c r="U8" s="12" t="n">
        <f aca="false">COUNTIF(Services!$I$2:$I$200,"*"&amp;A8&amp;"*")</f>
        <v>0</v>
      </c>
    </row>
    <row r="9" customFormat="false" ht="23.85" hidden="false" customHeight="false" outlineLevel="0" collapsed="false">
      <c r="A9" s="15" t="s">
        <v>116</v>
      </c>
      <c r="B9" s="15" t="n">
        <v>2</v>
      </c>
      <c r="C9" s="16" t="s">
        <v>117</v>
      </c>
      <c r="D9" s="15" t="s">
        <v>84</v>
      </c>
      <c r="E9" s="15" t="s">
        <v>85</v>
      </c>
      <c r="F9" s="15" t="s">
        <v>118</v>
      </c>
      <c r="G9" s="15" t="s">
        <v>119</v>
      </c>
      <c r="H9" s="15" t="s">
        <v>73</v>
      </c>
      <c r="I9" s="15" t="s">
        <v>74</v>
      </c>
      <c r="J9" s="15" t="s">
        <v>120</v>
      </c>
      <c r="K9" s="15" t="s">
        <v>121</v>
      </c>
      <c r="L9" s="15"/>
      <c r="M9" s="15" t="s">
        <v>122</v>
      </c>
      <c r="N9" s="15" t="s">
        <v>123</v>
      </c>
      <c r="O9" s="15" t="s">
        <v>124</v>
      </c>
      <c r="P9" s="15" t="s">
        <v>88</v>
      </c>
      <c r="Q9" s="15" t="s">
        <v>125</v>
      </c>
      <c r="R9" s="15" t="s">
        <v>126</v>
      </c>
      <c r="S9" s="15"/>
      <c r="T9" s="15" t="s">
        <v>83</v>
      </c>
      <c r="U9" s="12" t="n">
        <f aca="false">COUNTIF(Services!$I$2:$I$200,"*"&amp;A9&amp;"*")</f>
        <v>2</v>
      </c>
    </row>
    <row r="10" customFormat="false" ht="35.05" hidden="false" customHeight="false" outlineLevel="0" collapsed="false">
      <c r="A10" s="15" t="s">
        <v>127</v>
      </c>
      <c r="B10" s="15" t="n">
        <v>2</v>
      </c>
      <c r="C10" s="16" t="s">
        <v>128</v>
      </c>
      <c r="D10" s="15" t="s">
        <v>84</v>
      </c>
      <c r="E10" s="15" t="s">
        <v>85</v>
      </c>
      <c r="F10" s="15" t="s">
        <v>118</v>
      </c>
      <c r="G10" s="15" t="s">
        <v>129</v>
      </c>
      <c r="H10" s="15" t="s">
        <v>73</v>
      </c>
      <c r="I10" s="15" t="s">
        <v>74</v>
      </c>
      <c r="J10" s="15" t="s">
        <v>130</v>
      </c>
      <c r="K10" s="15" t="s">
        <v>131</v>
      </c>
      <c r="L10" s="15"/>
      <c r="M10" s="15" t="s">
        <v>132</v>
      </c>
      <c r="N10" s="15" t="s">
        <v>133</v>
      </c>
      <c r="O10" s="15" t="s">
        <v>134</v>
      </c>
      <c r="P10" s="15" t="s">
        <v>88</v>
      </c>
      <c r="Q10" s="15" t="s">
        <v>135</v>
      </c>
      <c r="R10" s="15" t="s">
        <v>136</v>
      </c>
      <c r="S10" s="15"/>
      <c r="T10" s="15" t="s">
        <v>83</v>
      </c>
      <c r="U10" s="12" t="n">
        <f aca="false">COUNTIF(Services!$I$2:$I$200,"*"&amp;A10&amp;"*")</f>
        <v>2</v>
      </c>
    </row>
    <row r="11" customFormat="false" ht="23.85" hidden="false" customHeight="false" outlineLevel="0" collapsed="false">
      <c r="A11" s="15" t="s">
        <v>137</v>
      </c>
      <c r="B11" s="15" t="n">
        <v>2</v>
      </c>
      <c r="C11" s="16" t="s">
        <v>138</v>
      </c>
      <c r="D11" s="15" t="s">
        <v>84</v>
      </c>
      <c r="E11" s="15" t="s">
        <v>85</v>
      </c>
      <c r="F11" s="15" t="s">
        <v>118</v>
      </c>
      <c r="G11" s="15" t="s">
        <v>139</v>
      </c>
      <c r="H11" s="15" t="s">
        <v>73</v>
      </c>
      <c r="I11" s="15" t="s">
        <v>74</v>
      </c>
      <c r="J11" s="15" t="s">
        <v>140</v>
      </c>
      <c r="K11" s="15" t="s">
        <v>141</v>
      </c>
      <c r="L11" s="15"/>
      <c r="M11" s="15" t="s">
        <v>142</v>
      </c>
      <c r="N11" s="15" t="s">
        <v>143</v>
      </c>
      <c r="O11" s="15" t="s">
        <v>144</v>
      </c>
      <c r="P11" s="15" t="s">
        <v>88</v>
      </c>
      <c r="Q11" s="15" t="s">
        <v>145</v>
      </c>
      <c r="R11" s="15" t="s">
        <v>146</v>
      </c>
      <c r="S11" s="15"/>
      <c r="T11" s="15" t="s">
        <v>147</v>
      </c>
      <c r="U11" s="12" t="n">
        <f aca="false">COUNTIF(Services!$I$2:$I$200,"*"&amp;A11&amp;"*")</f>
        <v>4</v>
      </c>
    </row>
    <row r="12" customFormat="false" ht="23.85" hidden="false" customHeight="false" outlineLevel="0" collapsed="false">
      <c r="A12" s="15" t="s">
        <v>148</v>
      </c>
      <c r="B12" s="15" t="n">
        <v>2</v>
      </c>
      <c r="C12" s="16" t="s">
        <v>149</v>
      </c>
      <c r="D12" s="15" t="s">
        <v>84</v>
      </c>
      <c r="E12" s="15" t="s">
        <v>85</v>
      </c>
      <c r="F12" s="15" t="s">
        <v>118</v>
      </c>
      <c r="G12" s="15" t="s">
        <v>150</v>
      </c>
      <c r="H12" s="15" t="s">
        <v>73</v>
      </c>
      <c r="I12" s="15" t="s">
        <v>151</v>
      </c>
      <c r="J12" s="15" t="s">
        <v>152</v>
      </c>
      <c r="K12" s="15" t="s">
        <v>153</v>
      </c>
      <c r="L12" s="15" t="s">
        <v>154</v>
      </c>
      <c r="M12" s="15" t="s">
        <v>155</v>
      </c>
      <c r="N12" s="15" t="s">
        <v>156</v>
      </c>
      <c r="O12" s="15" t="s">
        <v>157</v>
      </c>
      <c r="P12" s="15" t="s">
        <v>88</v>
      </c>
      <c r="Q12" s="15" t="s">
        <v>158</v>
      </c>
      <c r="R12" s="15" t="s">
        <v>159</v>
      </c>
      <c r="S12" s="15" t="s">
        <v>160</v>
      </c>
      <c r="T12" s="15" t="s">
        <v>147</v>
      </c>
      <c r="U12" s="12" t="n">
        <f aca="false">COUNTIF(Services!$I$2:$I$200,"*"&amp;A12&amp;"*")</f>
        <v>3</v>
      </c>
    </row>
    <row r="13" customFormat="false" ht="23.85" hidden="false" customHeight="false" outlineLevel="0" collapsed="false">
      <c r="A13" s="15" t="s">
        <v>161</v>
      </c>
      <c r="B13" s="15" t="n">
        <v>2</v>
      </c>
      <c r="C13" s="16" t="s">
        <v>162</v>
      </c>
      <c r="D13" s="15" t="s">
        <v>84</v>
      </c>
      <c r="E13" s="15" t="s">
        <v>85</v>
      </c>
      <c r="F13" s="15" t="s">
        <v>118</v>
      </c>
      <c r="G13" s="15" t="s">
        <v>163</v>
      </c>
      <c r="H13" s="15" t="s">
        <v>73</v>
      </c>
      <c r="I13" s="15" t="s">
        <v>74</v>
      </c>
      <c r="J13" s="15" t="s">
        <v>164</v>
      </c>
      <c r="K13" s="15" t="s">
        <v>165</v>
      </c>
      <c r="L13" s="15" t="s">
        <v>154</v>
      </c>
      <c r="M13" s="15" t="s">
        <v>166</v>
      </c>
      <c r="N13" s="15" t="s">
        <v>167</v>
      </c>
      <c r="O13" s="15" t="s">
        <v>168</v>
      </c>
      <c r="P13" s="15" t="s">
        <v>88</v>
      </c>
      <c r="Q13" s="15" t="s">
        <v>169</v>
      </c>
      <c r="R13" s="15" t="s">
        <v>170</v>
      </c>
      <c r="S13" s="15"/>
      <c r="T13" s="15" t="s">
        <v>147</v>
      </c>
      <c r="U13" s="12" t="n">
        <f aca="false">COUNTIF(Services!$I$2:$I$200,"*"&amp;A13&amp;"*")</f>
        <v>2</v>
      </c>
    </row>
    <row r="14" customFormat="false" ht="23.85" hidden="false" customHeight="false" outlineLevel="0" collapsed="false">
      <c r="A14" s="15" t="s">
        <v>171</v>
      </c>
      <c r="B14" s="15" t="n">
        <v>2</v>
      </c>
      <c r="C14" s="16" t="s">
        <v>172</v>
      </c>
      <c r="D14" s="15" t="s">
        <v>91</v>
      </c>
      <c r="E14" s="15" t="s">
        <v>92</v>
      </c>
      <c r="F14" s="15" t="s">
        <v>118</v>
      </c>
      <c r="G14" s="15" t="s">
        <v>173</v>
      </c>
      <c r="H14" s="15" t="s">
        <v>73</v>
      </c>
      <c r="I14" s="15" t="s">
        <v>74</v>
      </c>
      <c r="J14" s="15" t="s">
        <v>174</v>
      </c>
      <c r="K14" s="15" t="s">
        <v>175</v>
      </c>
      <c r="L14" s="15" t="s">
        <v>176</v>
      </c>
      <c r="M14" s="15" t="s">
        <v>177</v>
      </c>
      <c r="N14" s="15" t="s">
        <v>178</v>
      </c>
      <c r="O14" s="15" t="s">
        <v>179</v>
      </c>
      <c r="P14" s="15" t="s">
        <v>88</v>
      </c>
      <c r="Q14" s="15" t="s">
        <v>180</v>
      </c>
      <c r="R14" s="15" t="s">
        <v>95</v>
      </c>
      <c r="S14" s="15"/>
      <c r="T14" s="15" t="s">
        <v>83</v>
      </c>
      <c r="U14" s="12" t="n">
        <f aca="false">COUNTIF(Services!$I$2:$I$200,"*"&amp;A14&amp;"*")</f>
        <v>3</v>
      </c>
    </row>
    <row r="15" customFormat="false" ht="23.85" hidden="false" customHeight="false" outlineLevel="0" collapsed="false">
      <c r="A15" s="15" t="s">
        <v>181</v>
      </c>
      <c r="B15" s="15" t="n">
        <v>2</v>
      </c>
      <c r="C15" s="16" t="s">
        <v>182</v>
      </c>
      <c r="D15" s="15" t="s">
        <v>91</v>
      </c>
      <c r="E15" s="15" t="s">
        <v>92</v>
      </c>
      <c r="F15" s="15" t="s">
        <v>118</v>
      </c>
      <c r="G15" s="15" t="s">
        <v>183</v>
      </c>
      <c r="H15" s="15" t="s">
        <v>73</v>
      </c>
      <c r="I15" s="15" t="s">
        <v>74</v>
      </c>
      <c r="J15" s="15" t="s">
        <v>184</v>
      </c>
      <c r="K15" s="15" t="s">
        <v>185</v>
      </c>
      <c r="L15" s="15" t="s">
        <v>186</v>
      </c>
      <c r="M15" s="15" t="s">
        <v>187</v>
      </c>
      <c r="N15" s="15" t="s">
        <v>188</v>
      </c>
      <c r="O15" s="15" t="s">
        <v>189</v>
      </c>
      <c r="P15" s="15" t="s">
        <v>88</v>
      </c>
      <c r="Q15" s="15" t="s">
        <v>190</v>
      </c>
      <c r="R15" s="15" t="s">
        <v>191</v>
      </c>
      <c r="S15" s="15" t="s">
        <v>192</v>
      </c>
      <c r="T15" s="15" t="s">
        <v>147</v>
      </c>
      <c r="U15" s="12" t="n">
        <f aca="false">COUNTIF(Services!$I$2:$I$200,"*"&amp;A15&amp;"*")</f>
        <v>1</v>
      </c>
    </row>
    <row r="16" customFormat="false" ht="23.85" hidden="false" customHeight="false" outlineLevel="0" collapsed="false">
      <c r="A16" s="15" t="s">
        <v>193</v>
      </c>
      <c r="B16" s="15" t="n">
        <v>2</v>
      </c>
      <c r="C16" s="16" t="s">
        <v>194</v>
      </c>
      <c r="D16" s="15" t="s">
        <v>91</v>
      </c>
      <c r="E16" s="15" t="s">
        <v>92</v>
      </c>
      <c r="F16" s="15" t="s">
        <v>118</v>
      </c>
      <c r="G16" s="15" t="s">
        <v>195</v>
      </c>
      <c r="H16" s="15" t="s">
        <v>73</v>
      </c>
      <c r="I16" s="15" t="s">
        <v>196</v>
      </c>
      <c r="J16" s="15" t="s">
        <v>197</v>
      </c>
      <c r="K16" s="15" t="s">
        <v>198</v>
      </c>
      <c r="L16" s="15"/>
      <c r="M16" s="15" t="s">
        <v>199</v>
      </c>
      <c r="N16" s="15" t="s">
        <v>200</v>
      </c>
      <c r="O16" s="15" t="s">
        <v>201</v>
      </c>
      <c r="P16" s="15" t="s">
        <v>88</v>
      </c>
      <c r="Q16" s="15" t="s">
        <v>202</v>
      </c>
      <c r="R16" s="15" t="s">
        <v>203</v>
      </c>
      <c r="S16" s="15"/>
      <c r="T16" s="15" t="s">
        <v>83</v>
      </c>
      <c r="U16" s="12" t="n">
        <f aca="false">COUNTIF(Services!$I$2:$I$200,"*"&amp;A16&amp;"*")</f>
        <v>4</v>
      </c>
    </row>
    <row r="17" customFormat="false" ht="23.85" hidden="false" customHeight="false" outlineLevel="0" collapsed="false">
      <c r="A17" s="15" t="s">
        <v>204</v>
      </c>
      <c r="B17" s="15" t="n">
        <v>2</v>
      </c>
      <c r="C17" s="16" t="s">
        <v>205</v>
      </c>
      <c r="D17" s="15" t="s">
        <v>96</v>
      </c>
      <c r="E17" s="15" t="s">
        <v>97</v>
      </c>
      <c r="F17" s="15" t="s">
        <v>118</v>
      </c>
      <c r="G17" s="15" t="s">
        <v>206</v>
      </c>
      <c r="H17" s="15" t="s">
        <v>73</v>
      </c>
      <c r="I17" s="15" t="s">
        <v>151</v>
      </c>
      <c r="J17" s="15" t="s">
        <v>207</v>
      </c>
      <c r="K17" s="15" t="s">
        <v>208</v>
      </c>
      <c r="L17" s="15" t="s">
        <v>209</v>
      </c>
      <c r="M17" s="15" t="s">
        <v>210</v>
      </c>
      <c r="N17" s="15" t="s">
        <v>211</v>
      </c>
      <c r="O17" s="15" t="s">
        <v>212</v>
      </c>
      <c r="P17" s="15" t="s">
        <v>88</v>
      </c>
      <c r="Q17" s="15" t="s">
        <v>213</v>
      </c>
      <c r="R17" s="15" t="s">
        <v>214</v>
      </c>
      <c r="S17" s="15"/>
      <c r="T17" s="15" t="s">
        <v>83</v>
      </c>
      <c r="U17" s="12" t="n">
        <f aca="false">COUNTIF(Services!$I$2:$I$200,"*"&amp;A17&amp;"*")</f>
        <v>3</v>
      </c>
    </row>
    <row r="18" customFormat="false" ht="23.85" hidden="false" customHeight="false" outlineLevel="0" collapsed="false">
      <c r="A18" s="15" t="s">
        <v>215</v>
      </c>
      <c r="B18" s="15" t="n">
        <v>2</v>
      </c>
      <c r="C18" s="16" t="s">
        <v>216</v>
      </c>
      <c r="D18" s="15" t="s">
        <v>96</v>
      </c>
      <c r="E18" s="15" t="s">
        <v>97</v>
      </c>
      <c r="F18" s="15" t="s">
        <v>118</v>
      </c>
      <c r="G18" s="15" t="s">
        <v>217</v>
      </c>
      <c r="H18" s="15" t="s">
        <v>73</v>
      </c>
      <c r="I18" s="15" t="s">
        <v>74</v>
      </c>
      <c r="J18" s="15" t="s">
        <v>218</v>
      </c>
      <c r="K18" s="15" t="s">
        <v>219</v>
      </c>
      <c r="L18" s="15" t="s">
        <v>220</v>
      </c>
      <c r="M18" s="15" t="s">
        <v>221</v>
      </c>
      <c r="N18" s="15" t="s">
        <v>222</v>
      </c>
      <c r="O18" s="15" t="s">
        <v>223</v>
      </c>
      <c r="P18" s="15" t="s">
        <v>88</v>
      </c>
      <c r="Q18" s="15" t="s">
        <v>224</v>
      </c>
      <c r="R18" s="15" t="s">
        <v>225</v>
      </c>
      <c r="S18" s="15" t="s">
        <v>226</v>
      </c>
      <c r="T18" s="15" t="s">
        <v>147</v>
      </c>
      <c r="U18" s="12" t="n">
        <f aca="false">COUNTIF(Services!$I$2:$I$200,"*"&amp;A18&amp;"*")</f>
        <v>1</v>
      </c>
    </row>
    <row r="19" customFormat="false" ht="35.05" hidden="false" customHeight="false" outlineLevel="0" collapsed="false">
      <c r="A19" s="15" t="s">
        <v>227</v>
      </c>
      <c r="B19" s="15" t="n">
        <v>2</v>
      </c>
      <c r="C19" s="16" t="s">
        <v>228</v>
      </c>
      <c r="D19" s="15" t="s">
        <v>96</v>
      </c>
      <c r="E19" s="15" t="s">
        <v>97</v>
      </c>
      <c r="F19" s="15" t="s">
        <v>118</v>
      </c>
      <c r="G19" s="15" t="s">
        <v>229</v>
      </c>
      <c r="H19" s="15" t="s">
        <v>73</v>
      </c>
      <c r="I19" s="15" t="s">
        <v>74</v>
      </c>
      <c r="J19" s="15" t="s">
        <v>230</v>
      </c>
      <c r="K19" s="15" t="s">
        <v>231</v>
      </c>
      <c r="L19" s="15" t="s">
        <v>232</v>
      </c>
      <c r="M19" s="15" t="s">
        <v>233</v>
      </c>
      <c r="N19" s="15" t="s">
        <v>234</v>
      </c>
      <c r="O19" s="15" t="s">
        <v>235</v>
      </c>
      <c r="P19" s="15" t="s">
        <v>88</v>
      </c>
      <c r="Q19" s="15" t="s">
        <v>236</v>
      </c>
      <c r="R19" s="15" t="s">
        <v>237</v>
      </c>
      <c r="S19" s="15"/>
      <c r="T19" s="15" t="s">
        <v>147</v>
      </c>
      <c r="U19" s="12" t="n">
        <f aca="false">COUNTIF(Services!$I$2:$I$200,"*"&amp;A19&amp;"*")</f>
        <v>2</v>
      </c>
    </row>
    <row r="20" customFormat="false" ht="23.85" hidden="false" customHeight="false" outlineLevel="0" collapsed="false">
      <c r="A20" s="15" t="s">
        <v>238</v>
      </c>
      <c r="B20" s="15" t="n">
        <v>2</v>
      </c>
      <c r="C20" s="16" t="s">
        <v>239</v>
      </c>
      <c r="D20" s="15" t="s">
        <v>96</v>
      </c>
      <c r="E20" s="15" t="s">
        <v>97</v>
      </c>
      <c r="F20" s="15" t="s">
        <v>118</v>
      </c>
      <c r="G20" s="15" t="s">
        <v>240</v>
      </c>
      <c r="H20" s="15" t="s">
        <v>73</v>
      </c>
      <c r="I20" s="15" t="s">
        <v>74</v>
      </c>
      <c r="J20" s="15" t="s">
        <v>241</v>
      </c>
      <c r="K20" s="15" t="s">
        <v>242</v>
      </c>
      <c r="L20" s="15" t="s">
        <v>243</v>
      </c>
      <c r="M20" s="15" t="s">
        <v>233</v>
      </c>
      <c r="N20" s="15" t="s">
        <v>244</v>
      </c>
      <c r="O20" s="15" t="s">
        <v>235</v>
      </c>
      <c r="P20" s="15" t="s">
        <v>88</v>
      </c>
      <c r="Q20" s="15" t="s">
        <v>245</v>
      </c>
      <c r="R20" s="15" t="s">
        <v>246</v>
      </c>
      <c r="S20" s="15"/>
      <c r="T20" s="15" t="s">
        <v>147</v>
      </c>
      <c r="U20" s="12" t="n">
        <f aca="false">COUNTIF(Services!$I$2:$I$200,"*"&amp;A20&amp;"*")</f>
        <v>1</v>
      </c>
    </row>
    <row r="21" customFormat="false" ht="23.85" hidden="false" customHeight="false" outlineLevel="0" collapsed="false">
      <c r="A21" s="15" t="s">
        <v>247</v>
      </c>
      <c r="B21" s="15" t="n">
        <v>2</v>
      </c>
      <c r="C21" s="16" t="s">
        <v>248</v>
      </c>
      <c r="D21" s="15" t="s">
        <v>96</v>
      </c>
      <c r="E21" s="15" t="s">
        <v>97</v>
      </c>
      <c r="F21" s="15" t="s">
        <v>118</v>
      </c>
      <c r="G21" s="15" t="s">
        <v>249</v>
      </c>
      <c r="H21" s="15" t="s">
        <v>73</v>
      </c>
      <c r="I21" s="15" t="s">
        <v>151</v>
      </c>
      <c r="J21" s="15" t="s">
        <v>250</v>
      </c>
      <c r="K21" s="15" t="s">
        <v>251</v>
      </c>
      <c r="L21" s="15"/>
      <c r="M21" s="15" t="s">
        <v>252</v>
      </c>
      <c r="N21" s="15" t="s">
        <v>253</v>
      </c>
      <c r="O21" s="15" t="s">
        <v>254</v>
      </c>
      <c r="P21" s="15" t="s">
        <v>88</v>
      </c>
      <c r="Q21" s="15" t="s">
        <v>255</v>
      </c>
      <c r="R21" s="15" t="s">
        <v>256</v>
      </c>
      <c r="S21" s="15" t="s">
        <v>257</v>
      </c>
      <c r="T21" s="15" t="s">
        <v>147</v>
      </c>
      <c r="U21" s="12" t="n">
        <f aca="false">COUNTIF(Services!$I$2:$I$200,"*"&amp;A21&amp;"*")</f>
        <v>2</v>
      </c>
    </row>
    <row r="22" customFormat="false" ht="23.85" hidden="false" customHeight="false" outlineLevel="0" collapsed="false">
      <c r="A22" s="15" t="s">
        <v>258</v>
      </c>
      <c r="B22" s="15" t="n">
        <v>2</v>
      </c>
      <c r="C22" s="16" t="s">
        <v>259</v>
      </c>
      <c r="D22" s="15" t="s">
        <v>101</v>
      </c>
      <c r="E22" s="15" t="s">
        <v>102</v>
      </c>
      <c r="F22" s="15" t="s">
        <v>118</v>
      </c>
      <c r="G22" s="15" t="s">
        <v>260</v>
      </c>
      <c r="H22" s="15" t="s">
        <v>73</v>
      </c>
      <c r="I22" s="15" t="s">
        <v>196</v>
      </c>
      <c r="J22" s="15" t="s">
        <v>261</v>
      </c>
      <c r="K22" s="15" t="s">
        <v>262</v>
      </c>
      <c r="L22" s="15"/>
      <c r="M22" s="15" t="s">
        <v>263</v>
      </c>
      <c r="N22" s="15" t="s">
        <v>264</v>
      </c>
      <c r="O22" s="15" t="s">
        <v>265</v>
      </c>
      <c r="P22" s="15" t="s">
        <v>88</v>
      </c>
      <c r="Q22" s="15" t="s">
        <v>266</v>
      </c>
      <c r="R22" s="15" t="s">
        <v>267</v>
      </c>
      <c r="S22" s="15" t="s">
        <v>268</v>
      </c>
      <c r="T22" s="15" t="s">
        <v>147</v>
      </c>
      <c r="U22" s="12" t="n">
        <f aca="false">COUNTIF(Services!$I$2:$I$200,"*"&amp;A22&amp;"*")</f>
        <v>2</v>
      </c>
    </row>
    <row r="23" customFormat="false" ht="23.85" hidden="false" customHeight="false" outlineLevel="0" collapsed="false">
      <c r="A23" s="15" t="s">
        <v>269</v>
      </c>
      <c r="B23" s="15" t="n">
        <v>2</v>
      </c>
      <c r="C23" s="16" t="s">
        <v>270</v>
      </c>
      <c r="D23" s="15" t="s">
        <v>101</v>
      </c>
      <c r="E23" s="15" t="s">
        <v>102</v>
      </c>
      <c r="F23" s="15" t="s">
        <v>118</v>
      </c>
      <c r="G23" s="15" t="s">
        <v>271</v>
      </c>
      <c r="H23" s="15" t="s">
        <v>73</v>
      </c>
      <c r="I23" s="15" t="s">
        <v>74</v>
      </c>
      <c r="J23" s="15" t="s">
        <v>272</v>
      </c>
      <c r="K23" s="15" t="s">
        <v>273</v>
      </c>
      <c r="L23" s="15" t="s">
        <v>274</v>
      </c>
      <c r="M23" s="15" t="s">
        <v>275</v>
      </c>
      <c r="N23" s="15" t="s">
        <v>276</v>
      </c>
      <c r="O23" s="15" t="s">
        <v>277</v>
      </c>
      <c r="P23" s="15" t="s">
        <v>88</v>
      </c>
      <c r="Q23" s="15" t="s">
        <v>278</v>
      </c>
      <c r="R23" s="15" t="s">
        <v>279</v>
      </c>
      <c r="S23" s="15"/>
      <c r="T23" s="15" t="s">
        <v>147</v>
      </c>
      <c r="U23" s="12" t="n">
        <f aca="false">COUNTIF(Services!$I$2:$I$200,"*"&amp;A23&amp;"*")</f>
        <v>3</v>
      </c>
    </row>
    <row r="24" customFormat="false" ht="23.85" hidden="false" customHeight="false" outlineLevel="0" collapsed="false">
      <c r="A24" s="15" t="s">
        <v>280</v>
      </c>
      <c r="B24" s="15" t="n">
        <v>2</v>
      </c>
      <c r="C24" s="16" t="s">
        <v>281</v>
      </c>
      <c r="D24" s="15" t="s">
        <v>101</v>
      </c>
      <c r="E24" s="15" t="s">
        <v>102</v>
      </c>
      <c r="F24" s="15" t="s">
        <v>118</v>
      </c>
      <c r="G24" s="15" t="s">
        <v>282</v>
      </c>
      <c r="H24" s="15" t="s">
        <v>73</v>
      </c>
      <c r="I24" s="15" t="s">
        <v>151</v>
      </c>
      <c r="J24" s="15" t="s">
        <v>273</v>
      </c>
      <c r="K24" s="15" t="s">
        <v>283</v>
      </c>
      <c r="L24" s="15" t="s">
        <v>274</v>
      </c>
      <c r="M24" s="15" t="s">
        <v>284</v>
      </c>
      <c r="N24" s="15" t="s">
        <v>285</v>
      </c>
      <c r="O24" s="15" t="s">
        <v>286</v>
      </c>
      <c r="P24" s="15" t="s">
        <v>88</v>
      </c>
      <c r="Q24" s="15" t="s">
        <v>287</v>
      </c>
      <c r="R24" s="15" t="s">
        <v>288</v>
      </c>
      <c r="S24" s="15" t="s">
        <v>289</v>
      </c>
      <c r="T24" s="15" t="s">
        <v>147</v>
      </c>
      <c r="U24" s="12" t="n">
        <f aca="false">COUNTIF(Services!$I$2:$I$200,"*"&amp;A24&amp;"*")</f>
        <v>3</v>
      </c>
    </row>
    <row r="25" customFormat="false" ht="23.85" hidden="false" customHeight="false" outlineLevel="0" collapsed="false">
      <c r="A25" s="15" t="s">
        <v>290</v>
      </c>
      <c r="B25" s="15" t="n">
        <v>2</v>
      </c>
      <c r="C25" s="16" t="s">
        <v>291</v>
      </c>
      <c r="D25" s="15" t="s">
        <v>101</v>
      </c>
      <c r="E25" s="15" t="s">
        <v>102</v>
      </c>
      <c r="F25" s="15" t="s">
        <v>118</v>
      </c>
      <c r="G25" s="15" t="s">
        <v>292</v>
      </c>
      <c r="H25" s="15" t="s">
        <v>73</v>
      </c>
      <c r="I25" s="15" t="s">
        <v>74</v>
      </c>
      <c r="J25" s="15" t="s">
        <v>293</v>
      </c>
      <c r="K25" s="15" t="s">
        <v>294</v>
      </c>
      <c r="L25" s="15" t="s">
        <v>295</v>
      </c>
      <c r="M25" s="15" t="s">
        <v>296</v>
      </c>
      <c r="N25" s="15" t="s">
        <v>297</v>
      </c>
      <c r="O25" s="15" t="s">
        <v>298</v>
      </c>
      <c r="P25" s="15" t="s">
        <v>88</v>
      </c>
      <c r="Q25" s="15" t="s">
        <v>299</v>
      </c>
      <c r="R25" s="15" t="s">
        <v>300</v>
      </c>
      <c r="S25" s="15"/>
      <c r="T25" s="15" t="s">
        <v>147</v>
      </c>
      <c r="U25" s="12" t="n">
        <f aca="false">COUNTIF(Services!$I$2:$I$200,"*"&amp;A25&amp;"*")</f>
        <v>1</v>
      </c>
    </row>
    <row r="26" customFormat="false" ht="23.85" hidden="false" customHeight="false" outlineLevel="0" collapsed="false">
      <c r="A26" s="15" t="s">
        <v>301</v>
      </c>
      <c r="B26" s="15" t="n">
        <v>2</v>
      </c>
      <c r="C26" s="16" t="s">
        <v>302</v>
      </c>
      <c r="D26" s="15" t="s">
        <v>106</v>
      </c>
      <c r="E26" s="15" t="s">
        <v>107</v>
      </c>
      <c r="F26" s="15" t="s">
        <v>118</v>
      </c>
      <c r="G26" s="15" t="s">
        <v>303</v>
      </c>
      <c r="H26" s="15" t="s">
        <v>73</v>
      </c>
      <c r="I26" s="15" t="s">
        <v>151</v>
      </c>
      <c r="J26" s="15" t="s">
        <v>304</v>
      </c>
      <c r="K26" s="15" t="s">
        <v>305</v>
      </c>
      <c r="L26" s="15"/>
      <c r="M26" s="15" t="s">
        <v>306</v>
      </c>
      <c r="N26" s="15" t="s">
        <v>253</v>
      </c>
      <c r="O26" s="15" t="s">
        <v>307</v>
      </c>
      <c r="P26" s="15" t="s">
        <v>88</v>
      </c>
      <c r="Q26" s="15" t="s">
        <v>308</v>
      </c>
      <c r="R26" s="15" t="s">
        <v>309</v>
      </c>
      <c r="S26" s="15"/>
      <c r="T26" s="15" t="s">
        <v>83</v>
      </c>
      <c r="U26" s="12" t="n">
        <f aca="false">COUNTIF(Services!$I$2:$I$200,"*"&amp;A26&amp;"*")</f>
        <v>3</v>
      </c>
    </row>
    <row r="27" customFormat="false" ht="23.85" hidden="false" customHeight="false" outlineLevel="0" collapsed="false">
      <c r="A27" s="15" t="s">
        <v>310</v>
      </c>
      <c r="B27" s="15" t="n">
        <v>2</v>
      </c>
      <c r="C27" s="16" t="s">
        <v>311</v>
      </c>
      <c r="D27" s="15" t="s">
        <v>106</v>
      </c>
      <c r="E27" s="15" t="s">
        <v>107</v>
      </c>
      <c r="F27" s="15" t="s">
        <v>118</v>
      </c>
      <c r="G27" s="15" t="s">
        <v>312</v>
      </c>
      <c r="H27" s="15" t="s">
        <v>73</v>
      </c>
      <c r="I27" s="15" t="s">
        <v>74</v>
      </c>
      <c r="J27" s="15" t="s">
        <v>313</v>
      </c>
      <c r="K27" s="15" t="s">
        <v>314</v>
      </c>
      <c r="L27" s="15" t="s">
        <v>315</v>
      </c>
      <c r="M27" s="15" t="s">
        <v>316</v>
      </c>
      <c r="N27" s="15"/>
      <c r="O27" s="15" t="s">
        <v>317</v>
      </c>
      <c r="P27" s="15" t="s">
        <v>88</v>
      </c>
      <c r="Q27" s="15" t="s">
        <v>318</v>
      </c>
      <c r="R27" s="15" t="s">
        <v>319</v>
      </c>
      <c r="S27" s="15" t="s">
        <v>320</v>
      </c>
      <c r="T27" s="15" t="s">
        <v>147</v>
      </c>
      <c r="U27" s="12" t="n">
        <f aca="false">COUNTIF(Services!$I$2:$I$200,"*"&amp;A27&amp;"*")</f>
        <v>1</v>
      </c>
    </row>
    <row r="28" customFormat="false" ht="23.85" hidden="false" customHeight="false" outlineLevel="0" collapsed="false">
      <c r="A28" s="15" t="s">
        <v>321</v>
      </c>
      <c r="B28" s="15" t="n">
        <v>2</v>
      </c>
      <c r="C28" s="16" t="s">
        <v>322</v>
      </c>
      <c r="D28" s="15" t="s">
        <v>106</v>
      </c>
      <c r="E28" s="15" t="s">
        <v>107</v>
      </c>
      <c r="F28" s="15" t="s">
        <v>118</v>
      </c>
      <c r="G28" s="15" t="s">
        <v>323</v>
      </c>
      <c r="H28" s="15" t="s">
        <v>73</v>
      </c>
      <c r="I28" s="15" t="s">
        <v>151</v>
      </c>
      <c r="J28" s="15" t="s">
        <v>324</v>
      </c>
      <c r="K28" s="15" t="s">
        <v>325</v>
      </c>
      <c r="L28" s="15"/>
      <c r="M28" s="15" t="s">
        <v>326</v>
      </c>
      <c r="N28" s="15" t="s">
        <v>327</v>
      </c>
      <c r="O28" s="15" t="s">
        <v>328</v>
      </c>
      <c r="P28" s="15" t="s">
        <v>88</v>
      </c>
      <c r="Q28" s="15" t="s">
        <v>329</v>
      </c>
      <c r="R28" s="15" t="s">
        <v>330</v>
      </c>
      <c r="S28" s="15"/>
      <c r="T28" s="15" t="s">
        <v>83</v>
      </c>
      <c r="U28" s="12" t="n">
        <f aca="false">COUNTIF(Services!$I$2:$I$200,"*"&amp;A28&amp;"*")</f>
        <v>2</v>
      </c>
    </row>
    <row r="29" customFormat="false" ht="23.85" hidden="false" customHeight="false" outlineLevel="0" collapsed="false">
      <c r="A29" s="15" t="s">
        <v>331</v>
      </c>
      <c r="B29" s="15" t="n">
        <v>2</v>
      </c>
      <c r="C29" s="16" t="s">
        <v>332</v>
      </c>
      <c r="D29" s="15" t="s">
        <v>106</v>
      </c>
      <c r="E29" s="15" t="s">
        <v>107</v>
      </c>
      <c r="F29" s="15" t="s">
        <v>118</v>
      </c>
      <c r="G29" s="15" t="s">
        <v>333</v>
      </c>
      <c r="H29" s="15" t="s">
        <v>73</v>
      </c>
      <c r="I29" s="15" t="s">
        <v>74</v>
      </c>
      <c r="J29" s="15" t="s">
        <v>334</v>
      </c>
      <c r="K29" s="15" t="s">
        <v>335</v>
      </c>
      <c r="L29" s="15"/>
      <c r="M29" s="15" t="s">
        <v>336</v>
      </c>
      <c r="N29" s="15" t="s">
        <v>337</v>
      </c>
      <c r="O29" s="15" t="s">
        <v>338</v>
      </c>
      <c r="P29" s="15" t="s">
        <v>88</v>
      </c>
      <c r="Q29" s="15" t="s">
        <v>339</v>
      </c>
      <c r="R29" s="15" t="s">
        <v>340</v>
      </c>
      <c r="S29" s="15"/>
      <c r="T29" s="15" t="s">
        <v>147</v>
      </c>
      <c r="U29" s="12" t="n">
        <f aca="false">COUNTIF(Services!$I$2:$I$200,"*"&amp;A29&amp;"*")</f>
        <v>1</v>
      </c>
    </row>
    <row r="30" customFormat="false" ht="23.85" hidden="false" customHeight="false" outlineLevel="0" collapsed="false">
      <c r="A30" s="15" t="s">
        <v>341</v>
      </c>
      <c r="B30" s="15" t="n">
        <v>2</v>
      </c>
      <c r="C30" s="16" t="s">
        <v>342</v>
      </c>
      <c r="D30" s="15" t="s">
        <v>106</v>
      </c>
      <c r="E30" s="15" t="s">
        <v>107</v>
      </c>
      <c r="F30" s="15" t="s">
        <v>118</v>
      </c>
      <c r="G30" s="15" t="s">
        <v>343</v>
      </c>
      <c r="H30" s="15" t="s">
        <v>73</v>
      </c>
      <c r="I30" s="15" t="s">
        <v>151</v>
      </c>
      <c r="J30" s="15" t="s">
        <v>344</v>
      </c>
      <c r="K30" s="15" t="s">
        <v>345</v>
      </c>
      <c r="L30" s="15" t="s">
        <v>346</v>
      </c>
      <c r="M30" s="15" t="s">
        <v>347</v>
      </c>
      <c r="N30" s="15" t="s">
        <v>285</v>
      </c>
      <c r="O30" s="15" t="s">
        <v>348</v>
      </c>
      <c r="P30" s="15" t="s">
        <v>88</v>
      </c>
      <c r="Q30" s="15" t="s">
        <v>349</v>
      </c>
      <c r="R30" s="15" t="s">
        <v>350</v>
      </c>
      <c r="S30" s="15"/>
      <c r="T30" s="15" t="s">
        <v>147</v>
      </c>
      <c r="U30" s="12" t="n">
        <f aca="false">COUNTIF(Services!$I$2:$I$200,"*"&amp;A30&amp;"*")</f>
        <v>1</v>
      </c>
    </row>
    <row r="31" customFormat="false" ht="23.85" hidden="false" customHeight="false" outlineLevel="0" collapsed="false">
      <c r="A31" s="15" t="s">
        <v>351</v>
      </c>
      <c r="B31" s="15" t="n">
        <v>2</v>
      </c>
      <c r="C31" s="16" t="s">
        <v>352</v>
      </c>
      <c r="D31" s="15" t="s">
        <v>106</v>
      </c>
      <c r="E31" s="15" t="s">
        <v>107</v>
      </c>
      <c r="F31" s="15" t="s">
        <v>118</v>
      </c>
      <c r="G31" s="15" t="s">
        <v>353</v>
      </c>
      <c r="H31" s="15" t="s">
        <v>73</v>
      </c>
      <c r="I31" s="15" t="s">
        <v>196</v>
      </c>
      <c r="J31" s="15" t="s">
        <v>354</v>
      </c>
      <c r="K31" s="15" t="s">
        <v>355</v>
      </c>
      <c r="L31" s="15" t="s">
        <v>356</v>
      </c>
      <c r="M31" s="15" t="s">
        <v>357</v>
      </c>
      <c r="N31" s="15" t="s">
        <v>358</v>
      </c>
      <c r="O31" s="15" t="s">
        <v>359</v>
      </c>
      <c r="P31" s="15" t="s">
        <v>88</v>
      </c>
      <c r="Q31" s="15" t="s">
        <v>360</v>
      </c>
      <c r="R31" s="15" t="s">
        <v>361</v>
      </c>
      <c r="S31" s="15" t="s">
        <v>362</v>
      </c>
      <c r="T31" s="15" t="s">
        <v>147</v>
      </c>
      <c r="U31" s="12" t="n">
        <f aca="false">COUNTIF(Services!$I$2:$I$200,"*"&amp;A31&amp;"*")</f>
        <v>5</v>
      </c>
    </row>
    <row r="32" customFormat="false" ht="23.85" hidden="false" customHeight="false" outlineLevel="0" collapsed="false">
      <c r="A32" s="15" t="s">
        <v>363</v>
      </c>
      <c r="B32" s="15" t="n">
        <v>2</v>
      </c>
      <c r="C32" s="16" t="s">
        <v>364</v>
      </c>
      <c r="D32" s="15" t="s">
        <v>106</v>
      </c>
      <c r="E32" s="15" t="s">
        <v>107</v>
      </c>
      <c r="F32" s="15" t="s">
        <v>118</v>
      </c>
      <c r="G32" s="15" t="s">
        <v>365</v>
      </c>
      <c r="H32" s="15" t="s">
        <v>73</v>
      </c>
      <c r="I32" s="15" t="s">
        <v>74</v>
      </c>
      <c r="J32" s="15" t="s">
        <v>366</v>
      </c>
      <c r="K32" s="15" t="s">
        <v>367</v>
      </c>
      <c r="L32" s="15"/>
      <c r="M32" s="15" t="s">
        <v>368</v>
      </c>
      <c r="N32" s="15"/>
      <c r="O32" s="15" t="s">
        <v>369</v>
      </c>
      <c r="P32" s="15" t="s">
        <v>88</v>
      </c>
      <c r="Q32" s="15" t="s">
        <v>370</v>
      </c>
      <c r="R32" s="15" t="s">
        <v>371</v>
      </c>
      <c r="S32" s="15" t="s">
        <v>372</v>
      </c>
      <c r="T32" s="15" t="s">
        <v>147</v>
      </c>
      <c r="U32" s="12" t="n">
        <f aca="false">COUNTIF(Services!$I$2:$I$200,"*"&amp;A32&amp;"*")</f>
        <v>2</v>
      </c>
    </row>
    <row r="33" customFormat="false" ht="23.85" hidden="false" customHeight="false" outlineLevel="0" collapsed="false">
      <c r="A33" s="15" t="s">
        <v>373</v>
      </c>
      <c r="B33" s="15" t="n">
        <v>2</v>
      </c>
      <c r="C33" s="16" t="s">
        <v>374</v>
      </c>
      <c r="D33" s="15" t="s">
        <v>111</v>
      </c>
      <c r="E33" s="15" t="s">
        <v>112</v>
      </c>
      <c r="F33" s="15" t="s">
        <v>118</v>
      </c>
      <c r="G33" s="15" t="s">
        <v>375</v>
      </c>
      <c r="H33" s="15" t="s">
        <v>73</v>
      </c>
      <c r="I33" s="15" t="s">
        <v>196</v>
      </c>
      <c r="J33" s="15" t="s">
        <v>376</v>
      </c>
      <c r="K33" s="15" t="s">
        <v>377</v>
      </c>
      <c r="L33" s="15"/>
      <c r="M33" s="15" t="s">
        <v>378</v>
      </c>
      <c r="N33" s="15" t="s">
        <v>379</v>
      </c>
      <c r="O33" s="15" t="s">
        <v>380</v>
      </c>
      <c r="P33" s="15" t="s">
        <v>88</v>
      </c>
      <c r="Q33" s="15" t="s">
        <v>381</v>
      </c>
      <c r="R33" s="15" t="s">
        <v>382</v>
      </c>
      <c r="S33" s="15"/>
      <c r="T33" s="15" t="s">
        <v>147</v>
      </c>
      <c r="U33" s="12" t="n">
        <f aca="false">COUNTIF(Services!$I$2:$I$200,"*"&amp;A33&amp;"*")</f>
        <v>3</v>
      </c>
    </row>
    <row r="34" customFormat="false" ht="35.05" hidden="false" customHeight="false" outlineLevel="0" collapsed="false">
      <c r="A34" s="15" t="s">
        <v>383</v>
      </c>
      <c r="B34" s="15" t="n">
        <v>2</v>
      </c>
      <c r="C34" s="16" t="s">
        <v>384</v>
      </c>
      <c r="D34" s="15" t="s">
        <v>111</v>
      </c>
      <c r="E34" s="15" t="s">
        <v>112</v>
      </c>
      <c r="F34" s="15" t="s">
        <v>118</v>
      </c>
      <c r="G34" s="15" t="s">
        <v>385</v>
      </c>
      <c r="H34" s="15" t="s">
        <v>73</v>
      </c>
      <c r="I34" s="15" t="s">
        <v>74</v>
      </c>
      <c r="J34" s="15" t="s">
        <v>386</v>
      </c>
      <c r="K34" s="15" t="s">
        <v>387</v>
      </c>
      <c r="L34" s="15"/>
      <c r="M34" s="15" t="s">
        <v>388</v>
      </c>
      <c r="N34" s="15" t="s">
        <v>389</v>
      </c>
      <c r="O34" s="15" t="s">
        <v>390</v>
      </c>
      <c r="P34" s="15" t="s">
        <v>88</v>
      </c>
      <c r="Q34" s="15" t="s">
        <v>391</v>
      </c>
      <c r="R34" s="15" t="s">
        <v>392</v>
      </c>
      <c r="S34" s="15"/>
      <c r="T34" s="15" t="s">
        <v>83</v>
      </c>
      <c r="U34" s="12" t="n">
        <f aca="false">COUNTIF(Services!$I$2:$I$200,"*"&amp;A34&amp;"*")</f>
        <v>2</v>
      </c>
    </row>
  </sheetData>
  <autoFilter ref="A1:U34"/>
  <dataValidations count="3">
    <dataValidation allowBlank="true" errorStyle="stop" operator="between" showDropDown="false" showErrorMessage="false" showInputMessage="false" sqref="I2:I233" type="list">
      <formula1>"Manual,Automated,Hybrid"</formula1>
      <formula2>0</formula2>
    </dataValidation>
    <dataValidation allowBlank="true" errorStyle="stop" operator="between" showDropDown="false" showErrorMessage="false" showInputMessage="false" sqref="T2:T233" type="list">
      <formula1>"In model,Proposed,Retired"</formula1>
      <formula2>0</formula2>
    </dataValidation>
    <dataValidation allowBlank="true" errorStyle="stop" operator="between" showDropDown="false" showErrorMessage="false" showInputMessage="false" sqref="E2:E233" type="list">
      <formula1>"Discover,Qualify,Evaluate,Propose,Decide,Onboard"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10" min="8" style="0" width="26"/>
    <col collapsed="false" customWidth="true" hidden="false" outlineLevel="0" max="12" min="11" style="0" width="30"/>
    <col collapsed="false" customWidth="true" hidden="false" outlineLevel="0" max="13" min="13" style="0" width="28"/>
    <col collapsed="false" customWidth="true" hidden="false" outlineLevel="0" max="14" min="14" style="0" width="30"/>
    <col collapsed="false" customWidth="true" hidden="false" outlineLevel="0" max="15" min="15" style="0" width="28"/>
    <col collapsed="false" customWidth="true" hidden="false" outlineLevel="0" max="16" min="16" style="0" width="30"/>
    <col collapsed="false" customWidth="true" hidden="false" outlineLevel="0" max="17" min="17" style="0" width="58"/>
    <col collapsed="false" customWidth="true" hidden="false" outlineLevel="0" max="18" min="18" style="0" width="10"/>
    <col collapsed="false" customWidth="true" hidden="false" outlineLevel="0" max="19" min="19" style="0" width="12"/>
  </cols>
  <sheetData>
    <row r="1" customFormat="false" ht="31.5" hidden="false" customHeight="true" outlineLevel="0" collapsed="false">
      <c r="A1" s="9" t="s">
        <v>53</v>
      </c>
      <c r="B1" s="9" t="s">
        <v>393</v>
      </c>
      <c r="C1" s="9" t="s">
        <v>394</v>
      </c>
      <c r="D1" s="9" t="s">
        <v>58</v>
      </c>
      <c r="E1" s="9" t="s">
        <v>395</v>
      </c>
      <c r="F1" s="9" t="s">
        <v>396</v>
      </c>
      <c r="G1" s="9" t="s">
        <v>34</v>
      </c>
      <c r="H1" s="9" t="s">
        <v>59</v>
      </c>
      <c r="I1" s="9" t="s">
        <v>397</v>
      </c>
      <c r="J1" s="9" t="s">
        <v>398</v>
      </c>
      <c r="K1" s="9" t="s">
        <v>399</v>
      </c>
      <c r="L1" s="9" t="s">
        <v>400</v>
      </c>
      <c r="M1" s="9" t="s">
        <v>401</v>
      </c>
      <c r="N1" s="9" t="s">
        <v>63</v>
      </c>
      <c r="O1" s="9" t="s">
        <v>402</v>
      </c>
      <c r="P1" s="9" t="s">
        <v>403</v>
      </c>
      <c r="Q1" s="9" t="s">
        <v>404</v>
      </c>
      <c r="R1" s="9" t="s">
        <v>30</v>
      </c>
      <c r="S1" s="9" t="s">
        <v>405</v>
      </c>
    </row>
    <row r="2" customFormat="false" ht="35.05" hidden="false" customHeight="false" outlineLevel="0" collapsed="false">
      <c r="A2" s="15" t="s">
        <v>406</v>
      </c>
      <c r="B2" s="15" t="s">
        <v>407</v>
      </c>
      <c r="C2" s="15" t="s">
        <v>408</v>
      </c>
      <c r="D2" s="15" t="s">
        <v>409</v>
      </c>
      <c r="E2" s="15" t="s">
        <v>410</v>
      </c>
      <c r="F2" s="15" t="s">
        <v>411</v>
      </c>
      <c r="G2" s="15" t="s">
        <v>151</v>
      </c>
      <c r="H2" s="15" t="s">
        <v>73</v>
      </c>
      <c r="I2" s="15" t="s">
        <v>412</v>
      </c>
      <c r="J2" s="15" t="s">
        <v>413</v>
      </c>
      <c r="K2" s="15" t="s">
        <v>156</v>
      </c>
      <c r="L2" s="15" t="s">
        <v>414</v>
      </c>
      <c r="M2" s="15" t="s">
        <v>415</v>
      </c>
      <c r="N2" s="15" t="s">
        <v>156</v>
      </c>
      <c r="O2" s="15"/>
      <c r="P2" s="15" t="s">
        <v>416</v>
      </c>
      <c r="Q2" s="15" t="s">
        <v>417</v>
      </c>
      <c r="R2" s="15" t="s">
        <v>147</v>
      </c>
      <c r="S2" s="12" t="n">
        <f aca="false">IF(LEN(TRIM(I2))=0,0,LEN(I2)-LEN(SUBSTITUTE(I2,";",""))+1)</f>
        <v>3</v>
      </c>
    </row>
    <row r="3" customFormat="false" ht="35.05" hidden="false" customHeight="false" outlineLevel="0" collapsed="false">
      <c r="A3" s="15" t="s">
        <v>418</v>
      </c>
      <c r="B3" s="15" t="s">
        <v>419</v>
      </c>
      <c r="C3" s="15" t="s">
        <v>408</v>
      </c>
      <c r="D3" s="15" t="s">
        <v>420</v>
      </c>
      <c r="E3" s="15" t="s">
        <v>421</v>
      </c>
      <c r="F3" s="15" t="s">
        <v>411</v>
      </c>
      <c r="G3" s="15" t="s">
        <v>74</v>
      </c>
      <c r="H3" s="15" t="s">
        <v>422</v>
      </c>
      <c r="I3" s="15" t="s">
        <v>423</v>
      </c>
      <c r="J3" s="15" t="s">
        <v>424</v>
      </c>
      <c r="K3" s="15" t="s">
        <v>425</v>
      </c>
      <c r="L3" s="15" t="s">
        <v>231</v>
      </c>
      <c r="M3" s="15" t="s">
        <v>235</v>
      </c>
      <c r="N3" s="15" t="s">
        <v>234</v>
      </c>
      <c r="O3" s="15"/>
      <c r="P3" s="15" t="s">
        <v>416</v>
      </c>
      <c r="Q3" s="15" t="s">
        <v>426</v>
      </c>
      <c r="R3" s="15" t="s">
        <v>147</v>
      </c>
      <c r="S3" s="12" t="n">
        <f aca="false">IF(LEN(TRIM(I3))=0,0,LEN(I3)-LEN(SUBSTITUTE(I3,";",""))+1)</f>
        <v>2</v>
      </c>
    </row>
    <row r="4" customFormat="false" ht="35.05" hidden="false" customHeight="false" outlineLevel="0" collapsed="false">
      <c r="A4" s="15" t="s">
        <v>427</v>
      </c>
      <c r="B4" s="15" t="s">
        <v>428</v>
      </c>
      <c r="C4" s="15" t="s">
        <v>408</v>
      </c>
      <c r="D4" s="15" t="s">
        <v>429</v>
      </c>
      <c r="E4" s="15" t="s">
        <v>410</v>
      </c>
      <c r="F4" s="15" t="s">
        <v>411</v>
      </c>
      <c r="G4" s="15" t="s">
        <v>151</v>
      </c>
      <c r="H4" s="15" t="s">
        <v>73</v>
      </c>
      <c r="I4" s="15" t="s">
        <v>204</v>
      </c>
      <c r="J4" s="15" t="s">
        <v>413</v>
      </c>
      <c r="K4" s="15" t="s">
        <v>430</v>
      </c>
      <c r="L4" s="15" t="s">
        <v>208</v>
      </c>
      <c r="M4" s="15" t="s">
        <v>212</v>
      </c>
      <c r="N4" s="15" t="s">
        <v>211</v>
      </c>
      <c r="O4" s="15"/>
      <c r="P4" s="15" t="s">
        <v>416</v>
      </c>
      <c r="Q4" s="15" t="s">
        <v>431</v>
      </c>
      <c r="R4" s="15" t="s">
        <v>147</v>
      </c>
      <c r="S4" s="12" t="n">
        <f aca="false">IF(LEN(TRIM(I4))=0,0,LEN(I4)-LEN(SUBSTITUTE(I4,";",""))+1)</f>
        <v>1</v>
      </c>
    </row>
    <row r="5" customFormat="false" ht="35.05" hidden="false" customHeight="false" outlineLevel="0" collapsed="false">
      <c r="A5" s="15" t="s">
        <v>432</v>
      </c>
      <c r="B5" s="15" t="s">
        <v>242</v>
      </c>
      <c r="C5" s="15" t="s">
        <v>408</v>
      </c>
      <c r="D5" s="15" t="s">
        <v>433</v>
      </c>
      <c r="E5" s="15" t="s">
        <v>434</v>
      </c>
      <c r="F5" s="15" t="s">
        <v>411</v>
      </c>
      <c r="G5" s="15" t="s">
        <v>74</v>
      </c>
      <c r="H5" s="15" t="s">
        <v>73</v>
      </c>
      <c r="I5" s="15" t="s">
        <v>238</v>
      </c>
      <c r="J5" s="15" t="s">
        <v>435</v>
      </c>
      <c r="K5" s="15" t="s">
        <v>436</v>
      </c>
      <c r="L5" s="15" t="s">
        <v>242</v>
      </c>
      <c r="M5" s="15" t="s">
        <v>235</v>
      </c>
      <c r="N5" s="15" t="s">
        <v>244</v>
      </c>
      <c r="O5" s="15"/>
      <c r="P5" s="15" t="s">
        <v>416</v>
      </c>
      <c r="Q5" s="15" t="s">
        <v>437</v>
      </c>
      <c r="R5" s="15" t="s">
        <v>147</v>
      </c>
      <c r="S5" s="12" t="n">
        <f aca="false">IF(LEN(TRIM(I5))=0,0,LEN(I5)-LEN(SUBSTITUTE(I5,";",""))+1)</f>
        <v>1</v>
      </c>
    </row>
    <row r="6" customFormat="false" ht="35.05" hidden="false" customHeight="false" outlineLevel="0" collapsed="false">
      <c r="A6" s="15" t="s">
        <v>438</v>
      </c>
      <c r="B6" s="15" t="s">
        <v>439</v>
      </c>
      <c r="C6" s="15" t="s">
        <v>408</v>
      </c>
      <c r="D6" s="15" t="s">
        <v>440</v>
      </c>
      <c r="E6" s="15" t="s">
        <v>421</v>
      </c>
      <c r="F6" s="15" t="s">
        <v>411</v>
      </c>
      <c r="G6" s="15" t="s">
        <v>74</v>
      </c>
      <c r="H6" s="15" t="s">
        <v>422</v>
      </c>
      <c r="I6" s="15" t="s">
        <v>441</v>
      </c>
      <c r="J6" s="15" t="s">
        <v>413</v>
      </c>
      <c r="K6" s="15" t="s">
        <v>442</v>
      </c>
      <c r="L6" s="15" t="s">
        <v>273</v>
      </c>
      <c r="M6" s="15" t="s">
        <v>443</v>
      </c>
      <c r="N6" s="15" t="s">
        <v>444</v>
      </c>
      <c r="O6" s="15" t="s">
        <v>445</v>
      </c>
      <c r="P6" s="15" t="s">
        <v>416</v>
      </c>
      <c r="Q6" s="15" t="s">
        <v>446</v>
      </c>
      <c r="R6" s="15" t="s">
        <v>147</v>
      </c>
      <c r="S6" s="12" t="n">
        <f aca="false">IF(LEN(TRIM(I6))=0,0,LEN(I6)-LEN(SUBSTITUTE(I6,";",""))+1)</f>
        <v>2</v>
      </c>
    </row>
    <row r="7" customFormat="false" ht="35.05" hidden="false" customHeight="false" outlineLevel="0" collapsed="false">
      <c r="A7" s="15" t="s">
        <v>447</v>
      </c>
      <c r="B7" s="15" t="s">
        <v>448</v>
      </c>
      <c r="C7" s="15" t="s">
        <v>408</v>
      </c>
      <c r="D7" s="15" t="s">
        <v>449</v>
      </c>
      <c r="E7" s="15" t="s">
        <v>434</v>
      </c>
      <c r="F7" s="15" t="s">
        <v>411</v>
      </c>
      <c r="G7" s="15" t="s">
        <v>151</v>
      </c>
      <c r="H7" s="15" t="s">
        <v>73</v>
      </c>
      <c r="I7" s="15" t="s">
        <v>450</v>
      </c>
      <c r="J7" s="15"/>
      <c r="K7" s="15" t="s">
        <v>293</v>
      </c>
      <c r="L7" s="15" t="s">
        <v>451</v>
      </c>
      <c r="M7" s="15" t="s">
        <v>348</v>
      </c>
      <c r="N7" s="15" t="s">
        <v>452</v>
      </c>
      <c r="O7" s="15"/>
      <c r="P7" s="15" t="s">
        <v>416</v>
      </c>
      <c r="Q7" s="15" t="s">
        <v>453</v>
      </c>
      <c r="R7" s="15" t="s">
        <v>147</v>
      </c>
      <c r="S7" s="12" t="n">
        <f aca="false">IF(LEN(TRIM(I7))=0,0,LEN(I7)-LEN(SUBSTITUTE(I7,";",""))+1)</f>
        <v>2</v>
      </c>
    </row>
    <row r="8" customFormat="false" ht="35.05" hidden="false" customHeight="false" outlineLevel="0" collapsed="false">
      <c r="A8" s="15" t="s">
        <v>454</v>
      </c>
      <c r="B8" s="15" t="s">
        <v>455</v>
      </c>
      <c r="C8" s="15" t="s">
        <v>456</v>
      </c>
      <c r="D8" s="15" t="s">
        <v>457</v>
      </c>
      <c r="E8" s="15" t="s">
        <v>73</v>
      </c>
      <c r="F8" s="15" t="s">
        <v>458</v>
      </c>
      <c r="G8" s="15" t="s">
        <v>196</v>
      </c>
      <c r="H8" s="15" t="s">
        <v>459</v>
      </c>
      <c r="I8" s="15" t="s">
        <v>460</v>
      </c>
      <c r="J8" s="15" t="s">
        <v>413</v>
      </c>
      <c r="K8" s="15" t="s">
        <v>461</v>
      </c>
      <c r="L8" s="15" t="s">
        <v>462</v>
      </c>
      <c r="M8" s="15" t="s">
        <v>463</v>
      </c>
      <c r="N8" s="15" t="s">
        <v>464</v>
      </c>
      <c r="O8" s="15"/>
      <c r="P8" s="15" t="s">
        <v>465</v>
      </c>
      <c r="Q8" s="15" t="s">
        <v>466</v>
      </c>
      <c r="R8" s="15" t="s">
        <v>147</v>
      </c>
      <c r="S8" s="12" t="n">
        <f aca="false">IF(LEN(TRIM(I8))=0,0,LEN(I8)-LEN(SUBSTITUTE(I8,";",""))+1)</f>
        <v>2</v>
      </c>
    </row>
    <row r="9" customFormat="false" ht="35.05" hidden="false" customHeight="false" outlineLevel="0" collapsed="false">
      <c r="A9" s="15" t="s">
        <v>467</v>
      </c>
      <c r="B9" s="15" t="s">
        <v>468</v>
      </c>
      <c r="C9" s="15" t="s">
        <v>456</v>
      </c>
      <c r="D9" s="15" t="s">
        <v>469</v>
      </c>
      <c r="E9" s="15" t="s">
        <v>470</v>
      </c>
      <c r="F9" s="15" t="s">
        <v>458</v>
      </c>
      <c r="G9" s="15" t="s">
        <v>196</v>
      </c>
      <c r="H9" s="15" t="s">
        <v>471</v>
      </c>
      <c r="I9" s="15" t="s">
        <v>472</v>
      </c>
      <c r="J9" s="15" t="s">
        <v>473</v>
      </c>
      <c r="K9" s="15" t="s">
        <v>474</v>
      </c>
      <c r="L9" s="15" t="s">
        <v>475</v>
      </c>
      <c r="M9" s="15" t="s">
        <v>476</v>
      </c>
      <c r="N9" s="15" t="s">
        <v>477</v>
      </c>
      <c r="O9" s="15"/>
      <c r="P9" s="15" t="s">
        <v>465</v>
      </c>
      <c r="Q9" s="15" t="s">
        <v>478</v>
      </c>
      <c r="R9" s="15" t="s">
        <v>147</v>
      </c>
      <c r="S9" s="12" t="n">
        <f aca="false">IF(LEN(TRIM(I9))=0,0,LEN(I9)-LEN(SUBSTITUTE(I9,";",""))+1)</f>
        <v>2</v>
      </c>
    </row>
    <row r="10" customFormat="false" ht="35.05" hidden="false" customHeight="false" outlineLevel="0" collapsed="false">
      <c r="A10" s="15" t="s">
        <v>479</v>
      </c>
      <c r="B10" s="15" t="s">
        <v>480</v>
      </c>
      <c r="C10" s="15" t="s">
        <v>456</v>
      </c>
      <c r="D10" s="15" t="s">
        <v>481</v>
      </c>
      <c r="E10" s="15" t="s">
        <v>482</v>
      </c>
      <c r="F10" s="15" t="s">
        <v>458</v>
      </c>
      <c r="G10" s="15" t="s">
        <v>74</v>
      </c>
      <c r="H10" s="15" t="s">
        <v>483</v>
      </c>
      <c r="I10" s="15" t="s">
        <v>484</v>
      </c>
      <c r="J10" s="15" t="s">
        <v>413</v>
      </c>
      <c r="K10" s="15" t="s">
        <v>366</v>
      </c>
      <c r="L10" s="15" t="s">
        <v>485</v>
      </c>
      <c r="M10" s="15" t="s">
        <v>486</v>
      </c>
      <c r="N10" s="15" t="s">
        <v>487</v>
      </c>
      <c r="O10" s="15" t="s">
        <v>488</v>
      </c>
      <c r="P10" s="15" t="s">
        <v>465</v>
      </c>
      <c r="Q10" s="15" t="s">
        <v>489</v>
      </c>
      <c r="R10" s="15" t="s">
        <v>147</v>
      </c>
      <c r="S10" s="12" t="n">
        <f aca="false">IF(LEN(TRIM(I10))=0,0,LEN(I10)-LEN(SUBSTITUTE(I10,";",""))+1)</f>
        <v>7</v>
      </c>
    </row>
    <row r="11" customFormat="false" ht="35.05" hidden="false" customHeight="false" outlineLevel="0" collapsed="false">
      <c r="A11" s="15" t="s">
        <v>490</v>
      </c>
      <c r="B11" s="15" t="s">
        <v>491</v>
      </c>
      <c r="C11" s="15" t="s">
        <v>456</v>
      </c>
      <c r="D11" s="15" t="s">
        <v>492</v>
      </c>
      <c r="E11" s="15" t="s">
        <v>493</v>
      </c>
      <c r="F11" s="15" t="s">
        <v>458</v>
      </c>
      <c r="G11" s="15" t="s">
        <v>74</v>
      </c>
      <c r="H11" s="15" t="s">
        <v>494</v>
      </c>
      <c r="I11" s="15" t="s">
        <v>495</v>
      </c>
      <c r="J11" s="15" t="s">
        <v>424</v>
      </c>
      <c r="K11" s="15" t="s">
        <v>496</v>
      </c>
      <c r="L11" s="15" t="s">
        <v>497</v>
      </c>
      <c r="M11" s="15" t="s">
        <v>498</v>
      </c>
      <c r="N11" s="15" t="s">
        <v>487</v>
      </c>
      <c r="O11" s="15"/>
      <c r="P11" s="15" t="s">
        <v>465</v>
      </c>
      <c r="Q11" s="15" t="s">
        <v>499</v>
      </c>
      <c r="R11" s="15" t="s">
        <v>147</v>
      </c>
      <c r="S11" s="12" t="n">
        <f aca="false">IF(LEN(TRIM(I11))=0,0,LEN(I11)-LEN(SUBSTITUTE(I11,";",""))+1)</f>
        <v>2</v>
      </c>
    </row>
    <row r="12" customFormat="false" ht="35.05" hidden="false" customHeight="false" outlineLevel="0" collapsed="false">
      <c r="A12" s="15" t="s">
        <v>500</v>
      </c>
      <c r="B12" s="15" t="s">
        <v>501</v>
      </c>
      <c r="C12" s="15" t="s">
        <v>456</v>
      </c>
      <c r="D12" s="15" t="s">
        <v>502</v>
      </c>
      <c r="E12" s="15" t="s">
        <v>503</v>
      </c>
      <c r="F12" s="15" t="s">
        <v>458</v>
      </c>
      <c r="G12" s="15" t="s">
        <v>74</v>
      </c>
      <c r="H12" s="15" t="s">
        <v>504</v>
      </c>
      <c r="I12" s="15" t="s">
        <v>116</v>
      </c>
      <c r="J12" s="15" t="s">
        <v>424</v>
      </c>
      <c r="K12" s="15" t="s">
        <v>505</v>
      </c>
      <c r="L12" s="15" t="s">
        <v>506</v>
      </c>
      <c r="M12" s="15" t="s">
        <v>507</v>
      </c>
      <c r="N12" s="15" t="s">
        <v>487</v>
      </c>
      <c r="O12" s="15"/>
      <c r="P12" s="15" t="s">
        <v>465</v>
      </c>
      <c r="Q12" s="15" t="s">
        <v>508</v>
      </c>
      <c r="R12" s="15" t="s">
        <v>147</v>
      </c>
      <c r="S12" s="12" t="n">
        <f aca="false">IF(LEN(TRIM(I12))=0,0,LEN(I12)-LEN(SUBSTITUTE(I12,";",""))+1)</f>
        <v>1</v>
      </c>
    </row>
    <row r="13" customFormat="false" ht="35.05" hidden="false" customHeight="false" outlineLevel="0" collapsed="false">
      <c r="A13" s="15" t="s">
        <v>509</v>
      </c>
      <c r="B13" s="15" t="s">
        <v>510</v>
      </c>
      <c r="C13" s="15" t="s">
        <v>456</v>
      </c>
      <c r="D13" s="15" t="s">
        <v>511</v>
      </c>
      <c r="E13" s="15" t="s">
        <v>73</v>
      </c>
      <c r="F13" s="15" t="s">
        <v>458</v>
      </c>
      <c r="G13" s="15" t="s">
        <v>196</v>
      </c>
      <c r="H13" s="15" t="s">
        <v>512</v>
      </c>
      <c r="I13" s="15" t="s">
        <v>373</v>
      </c>
      <c r="J13" s="15" t="s">
        <v>513</v>
      </c>
      <c r="K13" s="15" t="s">
        <v>514</v>
      </c>
      <c r="L13" s="15" t="s">
        <v>515</v>
      </c>
      <c r="M13" s="15" t="s">
        <v>516</v>
      </c>
      <c r="N13" s="15" t="s">
        <v>517</v>
      </c>
      <c r="O13" s="15"/>
      <c r="P13" s="15" t="s">
        <v>465</v>
      </c>
      <c r="Q13" s="15" t="s">
        <v>518</v>
      </c>
      <c r="R13" s="15" t="s">
        <v>147</v>
      </c>
      <c r="S13" s="12" t="n">
        <f aca="false">IF(LEN(TRIM(I13))=0,0,LEN(I13)-LEN(SUBSTITUTE(I13,";",""))+1)</f>
        <v>1</v>
      </c>
    </row>
    <row r="14" customFormat="false" ht="23.85" hidden="false" customHeight="false" outlineLevel="0" collapsed="false">
      <c r="A14" s="15" t="s">
        <v>519</v>
      </c>
      <c r="B14" s="15" t="s">
        <v>520</v>
      </c>
      <c r="C14" s="15" t="s">
        <v>456</v>
      </c>
      <c r="D14" s="15" t="s">
        <v>521</v>
      </c>
      <c r="E14" s="15" t="s">
        <v>522</v>
      </c>
      <c r="F14" s="15" t="s">
        <v>458</v>
      </c>
      <c r="G14" s="15" t="s">
        <v>196</v>
      </c>
      <c r="H14" s="15" t="s">
        <v>523</v>
      </c>
      <c r="I14" s="15" t="s">
        <v>524</v>
      </c>
      <c r="J14" s="15" t="s">
        <v>525</v>
      </c>
      <c r="K14" s="15" t="s">
        <v>376</v>
      </c>
      <c r="L14" s="15" t="s">
        <v>526</v>
      </c>
      <c r="M14" s="15" t="s">
        <v>527</v>
      </c>
      <c r="N14" s="15" t="s">
        <v>528</v>
      </c>
      <c r="O14" s="15" t="s">
        <v>529</v>
      </c>
      <c r="P14" s="15" t="s">
        <v>530</v>
      </c>
      <c r="Q14" s="15" t="s">
        <v>531</v>
      </c>
      <c r="R14" s="15" t="s">
        <v>147</v>
      </c>
      <c r="S14" s="12" t="n">
        <f aca="false">IF(LEN(TRIM(I14))=0,0,LEN(I14)-LEN(SUBSTITUTE(I14,";",""))+1)</f>
        <v>2</v>
      </c>
    </row>
    <row r="15" customFormat="false" ht="35.05" hidden="false" customHeight="false" outlineLevel="0" collapsed="false">
      <c r="A15" s="15" t="s">
        <v>532</v>
      </c>
      <c r="B15" s="15" t="s">
        <v>533</v>
      </c>
      <c r="C15" s="15" t="s">
        <v>456</v>
      </c>
      <c r="D15" s="15" t="s">
        <v>534</v>
      </c>
      <c r="E15" s="15" t="s">
        <v>73</v>
      </c>
      <c r="F15" s="15" t="s">
        <v>458</v>
      </c>
      <c r="G15" s="15" t="s">
        <v>196</v>
      </c>
      <c r="H15" s="15" t="s">
        <v>535</v>
      </c>
      <c r="I15" s="15" t="s">
        <v>536</v>
      </c>
      <c r="J15" s="15" t="s">
        <v>413</v>
      </c>
      <c r="K15" s="15" t="s">
        <v>130</v>
      </c>
      <c r="L15" s="15" t="s">
        <v>537</v>
      </c>
      <c r="M15" s="15" t="s">
        <v>134</v>
      </c>
      <c r="N15" s="15" t="s">
        <v>538</v>
      </c>
      <c r="O15" s="15"/>
      <c r="P15" s="15" t="s">
        <v>465</v>
      </c>
      <c r="Q15" s="15" t="s">
        <v>539</v>
      </c>
      <c r="R15" s="15" t="s">
        <v>147</v>
      </c>
      <c r="S15" s="12" t="n">
        <f aca="false">IF(LEN(TRIM(I15))=0,0,LEN(I15)-LEN(SUBSTITUTE(I15,";",""))+1)</f>
        <v>2</v>
      </c>
    </row>
    <row r="16" customFormat="false" ht="35.05" hidden="false" customHeight="false" outlineLevel="0" collapsed="false">
      <c r="A16" s="15" t="s">
        <v>540</v>
      </c>
      <c r="B16" s="15" t="s">
        <v>541</v>
      </c>
      <c r="C16" s="15" t="s">
        <v>456</v>
      </c>
      <c r="D16" s="15" t="s">
        <v>542</v>
      </c>
      <c r="E16" s="15" t="s">
        <v>543</v>
      </c>
      <c r="F16" s="15" t="s">
        <v>458</v>
      </c>
      <c r="G16" s="15" t="s">
        <v>74</v>
      </c>
      <c r="H16" s="15" t="s">
        <v>544</v>
      </c>
      <c r="I16" s="15" t="s">
        <v>545</v>
      </c>
      <c r="J16" s="15" t="s">
        <v>546</v>
      </c>
      <c r="K16" s="15" t="s">
        <v>547</v>
      </c>
      <c r="L16" s="15" t="s">
        <v>548</v>
      </c>
      <c r="M16" s="15" t="s">
        <v>549</v>
      </c>
      <c r="N16" s="15" t="s">
        <v>550</v>
      </c>
      <c r="O16" s="15" t="s">
        <v>551</v>
      </c>
      <c r="P16" s="15" t="s">
        <v>552</v>
      </c>
      <c r="Q16" s="15" t="s">
        <v>553</v>
      </c>
      <c r="R16" s="15" t="s">
        <v>147</v>
      </c>
      <c r="S16" s="12" t="n">
        <f aca="false">IF(LEN(TRIM(I16))=0,0,LEN(I16)-LEN(SUBSTITUTE(I16,";",""))+1)</f>
        <v>5</v>
      </c>
    </row>
    <row r="17" customFormat="false" ht="35.05" hidden="false" customHeight="false" outlineLevel="0" collapsed="false">
      <c r="A17" s="15" t="s">
        <v>554</v>
      </c>
      <c r="B17" s="15" t="s">
        <v>555</v>
      </c>
      <c r="C17" s="15" t="s">
        <v>556</v>
      </c>
      <c r="D17" s="15" t="s">
        <v>557</v>
      </c>
      <c r="E17" s="15" t="s">
        <v>73</v>
      </c>
      <c r="F17" s="15" t="s">
        <v>411</v>
      </c>
      <c r="G17" s="15" t="s">
        <v>151</v>
      </c>
      <c r="H17" s="15" t="s">
        <v>558</v>
      </c>
      <c r="I17" s="15" t="s">
        <v>559</v>
      </c>
      <c r="J17" s="15"/>
      <c r="K17" s="15" t="s">
        <v>560</v>
      </c>
      <c r="L17" s="15" t="s">
        <v>561</v>
      </c>
      <c r="M17" s="15" t="s">
        <v>562</v>
      </c>
      <c r="N17" s="15" t="s">
        <v>487</v>
      </c>
      <c r="O17" s="15"/>
      <c r="P17" s="15" t="s">
        <v>416</v>
      </c>
      <c r="Q17" s="15" t="s">
        <v>563</v>
      </c>
      <c r="R17" s="15" t="s">
        <v>147</v>
      </c>
      <c r="S17" s="12" t="n">
        <f aca="false">IF(LEN(TRIM(I17))=0,0,LEN(I17)-LEN(SUBSTITUTE(I17,";",""))+1)</f>
        <v>5</v>
      </c>
    </row>
    <row r="18" customFormat="false" ht="35.05" hidden="false" customHeight="false" outlineLevel="0" collapsed="false">
      <c r="A18" s="15" t="s">
        <v>564</v>
      </c>
      <c r="B18" s="15" t="s">
        <v>565</v>
      </c>
      <c r="C18" s="15" t="s">
        <v>556</v>
      </c>
      <c r="D18" s="15" t="s">
        <v>566</v>
      </c>
      <c r="E18" s="15" t="s">
        <v>73</v>
      </c>
      <c r="F18" s="15" t="s">
        <v>411</v>
      </c>
      <c r="G18" s="15" t="s">
        <v>196</v>
      </c>
      <c r="H18" s="15" t="s">
        <v>567</v>
      </c>
      <c r="I18" s="15" t="s">
        <v>568</v>
      </c>
      <c r="J18" s="15" t="s">
        <v>473</v>
      </c>
      <c r="K18" s="15" t="s">
        <v>569</v>
      </c>
      <c r="L18" s="15" t="s">
        <v>570</v>
      </c>
      <c r="M18" s="15" t="s">
        <v>571</v>
      </c>
      <c r="N18" s="15" t="s">
        <v>572</v>
      </c>
      <c r="O18" s="15"/>
      <c r="P18" s="15" t="s">
        <v>416</v>
      </c>
      <c r="Q18" s="15" t="s">
        <v>573</v>
      </c>
      <c r="R18" s="15" t="s">
        <v>147</v>
      </c>
      <c r="S18" s="12" t="n">
        <f aca="false">IF(LEN(TRIM(I18))=0,0,LEN(I18)-LEN(SUBSTITUTE(I18,";",""))+1)</f>
        <v>6</v>
      </c>
    </row>
    <row r="19" customFormat="false" ht="35.05" hidden="false" customHeight="false" outlineLevel="0" collapsed="false">
      <c r="A19" s="15" t="s">
        <v>574</v>
      </c>
      <c r="B19" s="15" t="s">
        <v>575</v>
      </c>
      <c r="C19" s="15" t="s">
        <v>576</v>
      </c>
      <c r="D19" s="15" t="s">
        <v>577</v>
      </c>
      <c r="E19" s="15" t="s">
        <v>73</v>
      </c>
      <c r="F19" s="15" t="s">
        <v>578</v>
      </c>
      <c r="G19" s="15" t="s">
        <v>196</v>
      </c>
      <c r="H19" s="15" t="s">
        <v>579</v>
      </c>
      <c r="I19" s="15" t="s">
        <v>137</v>
      </c>
      <c r="J19" s="15" t="s">
        <v>413</v>
      </c>
      <c r="K19" s="15" t="s">
        <v>580</v>
      </c>
      <c r="L19" s="15" t="s">
        <v>581</v>
      </c>
      <c r="M19" s="15" t="s">
        <v>582</v>
      </c>
      <c r="N19" s="15" t="s">
        <v>143</v>
      </c>
      <c r="O19" s="15" t="s">
        <v>583</v>
      </c>
      <c r="P19" s="15" t="s">
        <v>584</v>
      </c>
      <c r="Q19" s="15" t="s">
        <v>585</v>
      </c>
      <c r="R19" s="15" t="s">
        <v>147</v>
      </c>
      <c r="S19" s="12" t="n">
        <f aca="false">IF(LEN(TRIM(I19))=0,0,LEN(I19)-LEN(SUBSTITUTE(I19,";",""))+1)</f>
        <v>1</v>
      </c>
    </row>
    <row r="20" customFormat="false" ht="35.05" hidden="false" customHeight="false" outlineLevel="0" collapsed="false">
      <c r="A20" s="15" t="s">
        <v>586</v>
      </c>
      <c r="B20" s="15" t="s">
        <v>587</v>
      </c>
      <c r="C20" s="15" t="s">
        <v>576</v>
      </c>
      <c r="D20" s="15" t="s">
        <v>588</v>
      </c>
      <c r="E20" s="15" t="s">
        <v>73</v>
      </c>
      <c r="F20" s="15" t="s">
        <v>578</v>
      </c>
      <c r="G20" s="15" t="s">
        <v>74</v>
      </c>
      <c r="H20" s="15" t="s">
        <v>589</v>
      </c>
      <c r="I20" s="15" t="s">
        <v>590</v>
      </c>
      <c r="J20" s="15" t="s">
        <v>424</v>
      </c>
      <c r="K20" s="15" t="s">
        <v>591</v>
      </c>
      <c r="L20" s="15" t="s">
        <v>592</v>
      </c>
      <c r="M20" s="15" t="s">
        <v>593</v>
      </c>
      <c r="N20" s="15" t="s">
        <v>594</v>
      </c>
      <c r="O20" s="15" t="s">
        <v>595</v>
      </c>
      <c r="P20" s="15" t="s">
        <v>596</v>
      </c>
      <c r="Q20" s="15" t="s">
        <v>597</v>
      </c>
      <c r="R20" s="15" t="s">
        <v>147</v>
      </c>
      <c r="S20" s="12" t="n">
        <f aca="false">IF(LEN(TRIM(I20))=0,0,LEN(I20)-LEN(SUBSTITUTE(I20,";",""))+1)</f>
        <v>3</v>
      </c>
    </row>
    <row r="21" customFormat="false" ht="35.05" hidden="false" customHeight="false" outlineLevel="0" collapsed="false">
      <c r="A21" s="15" t="s">
        <v>598</v>
      </c>
      <c r="B21" s="15" t="s">
        <v>599</v>
      </c>
      <c r="C21" s="15" t="s">
        <v>576</v>
      </c>
      <c r="D21" s="15" t="s">
        <v>600</v>
      </c>
      <c r="E21" s="15" t="s">
        <v>73</v>
      </c>
      <c r="F21" s="15" t="s">
        <v>601</v>
      </c>
      <c r="G21" s="15" t="s">
        <v>74</v>
      </c>
      <c r="H21" s="15" t="s">
        <v>602</v>
      </c>
      <c r="I21" s="15" t="s">
        <v>215</v>
      </c>
      <c r="J21" s="15" t="s">
        <v>603</v>
      </c>
      <c r="K21" s="15" t="s">
        <v>219</v>
      </c>
      <c r="L21" s="15" t="s">
        <v>604</v>
      </c>
      <c r="M21" s="15" t="s">
        <v>223</v>
      </c>
      <c r="N21" s="15" t="s">
        <v>605</v>
      </c>
      <c r="O21" s="15" t="s">
        <v>226</v>
      </c>
      <c r="P21" s="15" t="s">
        <v>465</v>
      </c>
      <c r="Q21" s="15" t="s">
        <v>606</v>
      </c>
      <c r="R21" s="15" t="s">
        <v>147</v>
      </c>
      <c r="S21" s="12" t="n">
        <f aca="false">IF(LEN(TRIM(I21))=0,0,LEN(I21)-LEN(SUBSTITUTE(I21,";",""))+1)</f>
        <v>1</v>
      </c>
    </row>
    <row r="22" customFormat="false" ht="35.05" hidden="false" customHeight="false" outlineLevel="0" collapsed="false">
      <c r="A22" s="15" t="s">
        <v>607</v>
      </c>
      <c r="B22" s="15" t="s">
        <v>608</v>
      </c>
      <c r="C22" s="15" t="s">
        <v>576</v>
      </c>
      <c r="D22" s="15" t="s">
        <v>609</v>
      </c>
      <c r="E22" s="15" t="s">
        <v>73</v>
      </c>
      <c r="F22" s="15" t="s">
        <v>601</v>
      </c>
      <c r="G22" s="15" t="s">
        <v>74</v>
      </c>
      <c r="H22" s="15" t="s">
        <v>610</v>
      </c>
      <c r="I22" s="15" t="s">
        <v>258</v>
      </c>
      <c r="J22" s="15" t="s">
        <v>611</v>
      </c>
      <c r="K22" s="15" t="s">
        <v>612</v>
      </c>
      <c r="L22" s="15" t="s">
        <v>613</v>
      </c>
      <c r="M22" s="15" t="s">
        <v>265</v>
      </c>
      <c r="N22" s="15" t="s">
        <v>264</v>
      </c>
      <c r="O22" s="15" t="s">
        <v>268</v>
      </c>
      <c r="P22" s="15" t="s">
        <v>614</v>
      </c>
      <c r="Q22" s="15" t="s">
        <v>615</v>
      </c>
      <c r="R22" s="15" t="s">
        <v>147</v>
      </c>
      <c r="S22" s="12" t="n">
        <f aca="false">IF(LEN(TRIM(I22))=0,0,LEN(I22)-LEN(SUBSTITUTE(I22,";",""))+1)</f>
        <v>1</v>
      </c>
    </row>
    <row r="23" customFormat="false" ht="35.05" hidden="false" customHeight="false" outlineLevel="0" collapsed="false">
      <c r="A23" s="15" t="s">
        <v>616</v>
      </c>
      <c r="B23" s="15" t="s">
        <v>617</v>
      </c>
      <c r="C23" s="15" t="s">
        <v>576</v>
      </c>
      <c r="D23" s="15" t="s">
        <v>618</v>
      </c>
      <c r="E23" s="15" t="s">
        <v>73</v>
      </c>
      <c r="F23" s="15" t="s">
        <v>601</v>
      </c>
      <c r="G23" s="15" t="s">
        <v>151</v>
      </c>
      <c r="H23" s="15" t="s">
        <v>619</v>
      </c>
      <c r="I23" s="15" t="s">
        <v>331</v>
      </c>
      <c r="J23" s="15" t="s">
        <v>611</v>
      </c>
      <c r="K23" s="15" t="s">
        <v>332</v>
      </c>
      <c r="L23" s="15" t="s">
        <v>335</v>
      </c>
      <c r="M23" s="15" t="s">
        <v>620</v>
      </c>
      <c r="N23" s="15" t="s">
        <v>234</v>
      </c>
      <c r="O23" s="15" t="s">
        <v>445</v>
      </c>
      <c r="P23" s="15" t="s">
        <v>614</v>
      </c>
      <c r="Q23" s="15" t="s">
        <v>621</v>
      </c>
      <c r="R23" s="15" t="s">
        <v>147</v>
      </c>
      <c r="S23" s="12" t="n">
        <f aca="false">IF(LEN(TRIM(I23))=0,0,LEN(I23)-LEN(SUBSTITUTE(I23,";",""))+1)</f>
        <v>1</v>
      </c>
    </row>
    <row r="24" customFormat="false" ht="35.05" hidden="false" customHeight="false" outlineLevel="0" collapsed="false">
      <c r="A24" s="15" t="s">
        <v>622</v>
      </c>
      <c r="B24" s="15" t="s">
        <v>623</v>
      </c>
      <c r="C24" s="15" t="s">
        <v>576</v>
      </c>
      <c r="D24" s="15" t="s">
        <v>624</v>
      </c>
      <c r="E24" s="15" t="s">
        <v>625</v>
      </c>
      <c r="F24" s="15" t="s">
        <v>601</v>
      </c>
      <c r="G24" s="15" t="s">
        <v>196</v>
      </c>
      <c r="H24" s="15" t="s">
        <v>626</v>
      </c>
      <c r="I24" s="15" t="s">
        <v>351</v>
      </c>
      <c r="J24" s="15" t="s">
        <v>525</v>
      </c>
      <c r="K24" s="15" t="s">
        <v>325</v>
      </c>
      <c r="L24" s="15" t="s">
        <v>376</v>
      </c>
      <c r="M24" s="15" t="s">
        <v>627</v>
      </c>
      <c r="N24" s="15" t="s">
        <v>628</v>
      </c>
      <c r="O24" s="15" t="s">
        <v>529</v>
      </c>
      <c r="P24" s="15" t="s">
        <v>629</v>
      </c>
      <c r="Q24" s="15" t="s">
        <v>630</v>
      </c>
      <c r="R24" s="15" t="s">
        <v>147</v>
      </c>
      <c r="S24" s="12" t="n">
        <f aca="false">IF(LEN(TRIM(I24))=0,0,LEN(I24)-LEN(SUBSTITUTE(I24,";",""))+1)</f>
        <v>1</v>
      </c>
    </row>
    <row r="25" customFormat="false" ht="35.05" hidden="false" customHeight="false" outlineLevel="0" collapsed="false">
      <c r="A25" s="15" t="s">
        <v>631</v>
      </c>
      <c r="B25" s="15" t="s">
        <v>632</v>
      </c>
      <c r="C25" s="15" t="s">
        <v>576</v>
      </c>
      <c r="D25" s="15" t="s">
        <v>633</v>
      </c>
      <c r="E25" s="15" t="s">
        <v>73</v>
      </c>
      <c r="F25" s="15" t="s">
        <v>634</v>
      </c>
      <c r="G25" s="15" t="s">
        <v>151</v>
      </c>
      <c r="H25" s="15" t="s">
        <v>635</v>
      </c>
      <c r="I25" s="15" t="s">
        <v>636</v>
      </c>
      <c r="J25" s="15"/>
      <c r="K25" s="15" t="s">
        <v>637</v>
      </c>
      <c r="L25" s="15" t="s">
        <v>638</v>
      </c>
      <c r="M25" s="15" t="s">
        <v>639</v>
      </c>
      <c r="N25" s="15" t="s">
        <v>640</v>
      </c>
      <c r="O25" s="15" t="s">
        <v>641</v>
      </c>
      <c r="P25" s="15" t="s">
        <v>642</v>
      </c>
      <c r="Q25" s="15" t="s">
        <v>643</v>
      </c>
      <c r="R25" s="15" t="s">
        <v>147</v>
      </c>
      <c r="S25" s="12" t="n">
        <f aca="false">IF(LEN(TRIM(I25))=0,0,LEN(I25)-LEN(SUBSTITUTE(I25,";",""))+1)</f>
        <v>3</v>
      </c>
    </row>
    <row r="26" customFormat="false" ht="35.05" hidden="false" customHeight="false" outlineLevel="0" collapsed="false">
      <c r="A26" s="15" t="s">
        <v>644</v>
      </c>
      <c r="B26" s="15" t="s">
        <v>645</v>
      </c>
      <c r="C26" s="15" t="s">
        <v>576</v>
      </c>
      <c r="D26" s="15" t="s">
        <v>646</v>
      </c>
      <c r="E26" s="15" t="s">
        <v>647</v>
      </c>
      <c r="F26" s="15" t="s">
        <v>648</v>
      </c>
      <c r="G26" s="15" t="s">
        <v>196</v>
      </c>
      <c r="H26" s="15" t="s">
        <v>649</v>
      </c>
      <c r="I26" s="15" t="s">
        <v>193</v>
      </c>
      <c r="J26" s="15" t="s">
        <v>413</v>
      </c>
      <c r="K26" s="15" t="s">
        <v>650</v>
      </c>
      <c r="L26" s="15" t="s">
        <v>198</v>
      </c>
      <c r="M26" s="15" t="s">
        <v>651</v>
      </c>
      <c r="N26" s="15" t="s">
        <v>652</v>
      </c>
      <c r="O26" s="15" t="s">
        <v>488</v>
      </c>
      <c r="P26" s="15" t="s">
        <v>465</v>
      </c>
      <c r="Q26" s="15" t="s">
        <v>653</v>
      </c>
      <c r="R26" s="15" t="s">
        <v>147</v>
      </c>
      <c r="S26" s="12" t="n">
        <f aca="false">IF(LEN(TRIM(I26))=0,0,LEN(I26)-LEN(SUBSTITUTE(I26,";",""))+1)</f>
        <v>1</v>
      </c>
    </row>
    <row r="27" customFormat="false" ht="35.05" hidden="false" customHeight="false" outlineLevel="0" collapsed="false">
      <c r="A27" s="15" t="s">
        <v>654</v>
      </c>
      <c r="B27" s="15" t="s">
        <v>655</v>
      </c>
      <c r="C27" s="15" t="s">
        <v>576</v>
      </c>
      <c r="D27" s="15" t="s">
        <v>656</v>
      </c>
      <c r="E27" s="15" t="s">
        <v>73</v>
      </c>
      <c r="F27" s="15" t="s">
        <v>657</v>
      </c>
      <c r="G27" s="15" t="s">
        <v>74</v>
      </c>
      <c r="H27" s="15" t="s">
        <v>658</v>
      </c>
      <c r="I27" s="15" t="s">
        <v>383</v>
      </c>
      <c r="J27" s="15" t="s">
        <v>413</v>
      </c>
      <c r="K27" s="15" t="s">
        <v>387</v>
      </c>
      <c r="L27" s="15" t="s">
        <v>659</v>
      </c>
      <c r="M27" s="15" t="s">
        <v>660</v>
      </c>
      <c r="N27" s="15" t="s">
        <v>661</v>
      </c>
      <c r="O27" s="15" t="s">
        <v>551</v>
      </c>
      <c r="P27" s="15" t="s">
        <v>662</v>
      </c>
      <c r="Q27" s="15" t="s">
        <v>663</v>
      </c>
      <c r="R27" s="15" t="s">
        <v>147</v>
      </c>
      <c r="S27" s="12" t="n">
        <f aca="false">IF(LEN(TRIM(I27))=0,0,LEN(I27)-LEN(SUBSTITUTE(I27,";",""))+1)</f>
        <v>1</v>
      </c>
    </row>
  </sheetData>
  <autoFilter ref="A1:S27"/>
  <dataValidations count="3">
    <dataValidation allowBlank="true" errorStyle="stop" operator="between" showDropDown="false" showErrorMessage="false" showInputMessage="false" sqref="G2:G226" type="list">
      <formula1>"Manual,Automated,Hybrid"</formula1>
      <formula2>0</formula2>
    </dataValidation>
    <dataValidation allowBlank="true" errorStyle="stop" operator="between" showDropDown="false" showErrorMessage="false" showInputMessage="false" sqref="R2:R226" type="list">
      <formula1>"In model,Proposed,Retired"</formula1>
      <formula2>0</formula2>
    </dataValidation>
    <dataValidation allowBlank="true" errorStyle="stop" operator="between" showDropDown="false" showErrorMessage="false" showInputMessage="false" sqref="C2:C226" type="list">
      <formula1>"Buyer-facing service,Sales operations service,Enablement service,Shared commercial 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28" min="3" style="0" width="6"/>
    <col collapsed="false" customWidth="true" hidden="false" outlineLevel="0" max="29" min="29" style="0" width="10"/>
  </cols>
  <sheetData>
    <row r="1" customFormat="false" ht="15" hidden="false" customHeight="false" outlineLevel="0" collapsed="false">
      <c r="A1" s="17" t="s">
        <v>664</v>
      </c>
      <c r="B1" s="17" t="s">
        <v>118</v>
      </c>
      <c r="C1" s="17" t="s">
        <v>406</v>
      </c>
      <c r="D1" s="17" t="s">
        <v>418</v>
      </c>
      <c r="E1" s="17" t="s">
        <v>427</v>
      </c>
      <c r="F1" s="17" t="s">
        <v>432</v>
      </c>
      <c r="G1" s="17" t="s">
        <v>438</v>
      </c>
      <c r="H1" s="17" t="s">
        <v>447</v>
      </c>
      <c r="I1" s="17" t="s">
        <v>454</v>
      </c>
      <c r="J1" s="17" t="s">
        <v>467</v>
      </c>
      <c r="K1" s="17" t="s">
        <v>479</v>
      </c>
      <c r="L1" s="17" t="s">
        <v>490</v>
      </c>
      <c r="M1" s="17" t="s">
        <v>500</v>
      </c>
      <c r="N1" s="17" t="s">
        <v>509</v>
      </c>
      <c r="O1" s="17" t="s">
        <v>519</v>
      </c>
      <c r="P1" s="17" t="s">
        <v>532</v>
      </c>
      <c r="Q1" s="17" t="s">
        <v>540</v>
      </c>
      <c r="R1" s="17" t="s">
        <v>554</v>
      </c>
      <c r="S1" s="17" t="s">
        <v>564</v>
      </c>
      <c r="T1" s="17" t="s">
        <v>574</v>
      </c>
      <c r="U1" s="17" t="s">
        <v>586</v>
      </c>
      <c r="V1" s="17" t="s">
        <v>598</v>
      </c>
      <c r="W1" s="17" t="s">
        <v>607</v>
      </c>
      <c r="X1" s="17" t="s">
        <v>616</v>
      </c>
      <c r="Y1" s="17" t="s">
        <v>622</v>
      </c>
      <c r="Z1" s="17" t="s">
        <v>631</v>
      </c>
      <c r="AA1" s="17" t="s">
        <v>644</v>
      </c>
      <c r="AB1" s="17" t="s">
        <v>654</v>
      </c>
      <c r="AC1" s="17" t="s">
        <v>12</v>
      </c>
    </row>
    <row r="2" customFormat="false" ht="210" hidden="false" customHeight="true" outlineLevel="0" collapsed="false">
      <c r="A2" s="18"/>
      <c r="B2" s="19" t="s">
        <v>665</v>
      </c>
      <c r="C2" s="20" t="s">
        <v>407</v>
      </c>
      <c r="D2" s="20" t="s">
        <v>419</v>
      </c>
      <c r="E2" s="20" t="s">
        <v>428</v>
      </c>
      <c r="F2" s="20" t="s">
        <v>242</v>
      </c>
      <c r="G2" s="20" t="s">
        <v>439</v>
      </c>
      <c r="H2" s="20" t="s">
        <v>448</v>
      </c>
      <c r="I2" s="20" t="s">
        <v>455</v>
      </c>
      <c r="J2" s="20" t="s">
        <v>468</v>
      </c>
      <c r="K2" s="20" t="s">
        <v>480</v>
      </c>
      <c r="L2" s="20" t="s">
        <v>491</v>
      </c>
      <c r="M2" s="20" t="s">
        <v>501</v>
      </c>
      <c r="N2" s="20" t="s">
        <v>510</v>
      </c>
      <c r="O2" s="20" t="s">
        <v>520</v>
      </c>
      <c r="P2" s="20" t="s">
        <v>533</v>
      </c>
      <c r="Q2" s="20" t="s">
        <v>541</v>
      </c>
      <c r="R2" s="20" t="s">
        <v>555</v>
      </c>
      <c r="S2" s="20" t="s">
        <v>565</v>
      </c>
      <c r="T2" s="20" t="s">
        <v>575</v>
      </c>
      <c r="U2" s="20" t="s">
        <v>587</v>
      </c>
      <c r="V2" s="20" t="s">
        <v>599</v>
      </c>
      <c r="W2" s="20" t="s">
        <v>608</v>
      </c>
      <c r="X2" s="20" t="s">
        <v>617</v>
      </c>
      <c r="Y2" s="20" t="s">
        <v>623</v>
      </c>
      <c r="Z2" s="20" t="s">
        <v>632</v>
      </c>
      <c r="AA2" s="20" t="s">
        <v>645</v>
      </c>
      <c r="AB2" s="20" t="s">
        <v>655</v>
      </c>
      <c r="AC2" s="18"/>
    </row>
    <row r="3" customFormat="false" ht="15" hidden="false" customHeight="false" outlineLevel="0" collapsed="false">
      <c r="A3" s="21" t="s">
        <v>116</v>
      </c>
      <c r="B3" s="21" t="s">
        <v>666</v>
      </c>
      <c r="C3" s="22" t="str">
        <f aca="false">IF(ISNUMBER(SEARCH(";"&amp;$A3&amp;";",";"&amp;SUBSTITUTE(INDEX(Services!$I$2:$I$27,MATCH(C$1,Services!$A$2:$A$27,0))," ","")&amp;";")),"●","")</f>
        <v/>
      </c>
      <c r="D3" s="22" t="str">
        <f aca="false">IF(ISNUMBER(SEARCH(";"&amp;$A3&amp;";",";"&amp;SUBSTITUTE(INDEX(Services!$I$2:$I$27,MATCH(D$1,Services!$A$2:$A$27,0))," ","")&amp;";")),"●","")</f>
        <v/>
      </c>
      <c r="E3" s="22" t="str">
        <f aca="false">IF(ISNUMBER(SEARCH(";"&amp;$A3&amp;";",";"&amp;SUBSTITUTE(INDEX(Services!$I$2:$I$27,MATCH(E$1,Services!$A$2:$A$27,0))," ","")&amp;";")),"●","")</f>
        <v/>
      </c>
      <c r="F3" s="22" t="str">
        <f aca="false">IF(ISNUMBER(SEARCH(";"&amp;$A3&amp;";",";"&amp;SUBSTITUTE(INDEX(Services!$I$2:$I$27,MATCH(F$1,Services!$A$2:$A$27,0))," ","")&amp;";")),"●","")</f>
        <v/>
      </c>
      <c r="G3" s="22" t="str">
        <f aca="false">IF(ISNUMBER(SEARCH(";"&amp;$A3&amp;";",";"&amp;SUBSTITUTE(INDEX(Services!$I$2:$I$27,MATCH(G$1,Services!$A$2:$A$27,0))," ","")&amp;";")),"●","")</f>
        <v/>
      </c>
      <c r="H3" s="22" t="str">
        <f aca="false">IF(ISNUMBER(SEARCH(";"&amp;$A3&amp;";",";"&amp;SUBSTITUTE(INDEX(Services!$I$2:$I$27,MATCH(H$1,Services!$A$2:$A$27,0))," ","")&amp;";")),"●","")</f>
        <v/>
      </c>
      <c r="I3" s="22" t="str">
        <f aca="false">IF(ISNUMBER(SEARCH(";"&amp;$A3&amp;";",";"&amp;SUBSTITUTE(INDEX(Services!$I$2:$I$27,MATCH(I$1,Services!$A$2:$A$27,0))," ","")&amp;";")),"●","")</f>
        <v/>
      </c>
      <c r="J3" s="22" t="str">
        <f aca="false">IF(ISNUMBER(SEARCH(";"&amp;$A3&amp;";",";"&amp;SUBSTITUTE(INDEX(Services!$I$2:$I$27,MATCH(J$1,Services!$A$2:$A$27,0))," ","")&amp;";")),"●","")</f>
        <v/>
      </c>
      <c r="K3" s="22" t="str">
        <f aca="false">IF(ISNUMBER(SEARCH(";"&amp;$A3&amp;";",";"&amp;SUBSTITUTE(INDEX(Services!$I$2:$I$27,MATCH(K$1,Services!$A$2:$A$27,0))," ","")&amp;";")),"●","")</f>
        <v/>
      </c>
      <c r="L3" s="22" t="str">
        <f aca="false">IF(ISNUMBER(SEARCH(";"&amp;$A3&amp;";",";"&amp;SUBSTITUTE(INDEX(Services!$I$2:$I$27,MATCH(L$1,Services!$A$2:$A$27,0))," ","")&amp;";")),"●","")</f>
        <v/>
      </c>
      <c r="M3" s="22" t="str">
        <f aca="false">IF(ISNUMBER(SEARCH(";"&amp;$A3&amp;";",";"&amp;SUBSTITUTE(INDEX(Services!$I$2:$I$27,MATCH(M$1,Services!$A$2:$A$27,0))," ","")&amp;";")),"●","")</f>
        <v>●</v>
      </c>
      <c r="N3" s="22" t="str">
        <f aca="false">IF(ISNUMBER(SEARCH(";"&amp;$A3&amp;";",";"&amp;SUBSTITUTE(INDEX(Services!$I$2:$I$27,MATCH(N$1,Services!$A$2:$A$27,0))," ","")&amp;";")),"●","")</f>
        <v/>
      </c>
      <c r="O3" s="22" t="str">
        <f aca="false">IF(ISNUMBER(SEARCH(";"&amp;$A3&amp;";",";"&amp;SUBSTITUTE(INDEX(Services!$I$2:$I$27,MATCH(O$1,Services!$A$2:$A$27,0))," ","")&amp;";")),"●","")</f>
        <v/>
      </c>
      <c r="P3" s="22" t="str">
        <f aca="false">IF(ISNUMBER(SEARCH(";"&amp;$A3&amp;";",";"&amp;SUBSTITUTE(INDEX(Services!$I$2:$I$27,MATCH(P$1,Services!$A$2:$A$27,0))," ","")&amp;";")),"●","")</f>
        <v>●</v>
      </c>
      <c r="Q3" s="22" t="str">
        <f aca="false">IF(ISNUMBER(SEARCH(";"&amp;$A3&amp;";",";"&amp;SUBSTITUTE(INDEX(Services!$I$2:$I$27,MATCH(Q$1,Services!$A$2:$A$27,0))," ","")&amp;";")),"●","")</f>
        <v/>
      </c>
      <c r="R3" s="22" t="str">
        <f aca="false">IF(ISNUMBER(SEARCH(";"&amp;$A3&amp;";",";"&amp;SUBSTITUTE(INDEX(Services!$I$2:$I$27,MATCH(R$1,Services!$A$2:$A$27,0))," ","")&amp;";")),"●","")</f>
        <v/>
      </c>
      <c r="S3" s="22" t="str">
        <f aca="false">IF(ISNUMBER(SEARCH(";"&amp;$A3&amp;";",";"&amp;SUBSTITUTE(INDEX(Services!$I$2:$I$27,MATCH(S$1,Services!$A$2:$A$27,0))," ","")&amp;";")),"●","")</f>
        <v/>
      </c>
      <c r="T3" s="22" t="str">
        <f aca="false">IF(ISNUMBER(SEARCH(";"&amp;$A3&amp;";",";"&amp;SUBSTITUTE(INDEX(Services!$I$2:$I$27,MATCH(T$1,Services!$A$2:$A$27,0))," ","")&amp;";")),"●","")</f>
        <v/>
      </c>
      <c r="U3" s="22" t="str">
        <f aca="false">IF(ISNUMBER(SEARCH(";"&amp;$A3&amp;";",";"&amp;SUBSTITUTE(INDEX(Services!$I$2:$I$27,MATCH(U$1,Services!$A$2:$A$27,0))," ","")&amp;";")),"●","")</f>
        <v/>
      </c>
      <c r="V3" s="22" t="str">
        <f aca="false">IF(ISNUMBER(SEARCH(";"&amp;$A3&amp;";",";"&amp;SUBSTITUTE(INDEX(Services!$I$2:$I$27,MATCH(V$1,Services!$A$2:$A$27,0))," ","")&amp;";")),"●","")</f>
        <v/>
      </c>
      <c r="W3" s="22" t="str">
        <f aca="false">IF(ISNUMBER(SEARCH(";"&amp;$A3&amp;";",";"&amp;SUBSTITUTE(INDEX(Services!$I$2:$I$27,MATCH(W$1,Services!$A$2:$A$27,0))," ","")&amp;";")),"●","")</f>
        <v/>
      </c>
      <c r="X3" s="22" t="str">
        <f aca="false">IF(ISNUMBER(SEARCH(";"&amp;$A3&amp;";",";"&amp;SUBSTITUTE(INDEX(Services!$I$2:$I$27,MATCH(X$1,Services!$A$2:$A$27,0))," ","")&amp;";")),"●","")</f>
        <v/>
      </c>
      <c r="Y3" s="22" t="str">
        <f aca="false">IF(ISNUMBER(SEARCH(";"&amp;$A3&amp;";",";"&amp;SUBSTITUTE(INDEX(Services!$I$2:$I$27,MATCH(Y$1,Services!$A$2:$A$27,0))," ","")&amp;";")),"●","")</f>
        <v/>
      </c>
      <c r="Z3" s="22" t="str">
        <f aca="false">IF(ISNUMBER(SEARCH(";"&amp;$A3&amp;";",";"&amp;SUBSTITUTE(INDEX(Services!$I$2:$I$27,MATCH(Z$1,Services!$A$2:$A$27,0))," ","")&amp;";")),"●","")</f>
        <v/>
      </c>
      <c r="AA3" s="22" t="str">
        <f aca="false">IF(ISNUMBER(SEARCH(";"&amp;$A3&amp;";",";"&amp;SUBSTITUTE(INDEX(Services!$I$2:$I$27,MATCH(AA$1,Services!$A$2:$A$27,0))," ","")&amp;";")),"●","")</f>
        <v/>
      </c>
      <c r="AB3" s="22" t="str">
        <f aca="false">IF(ISNUMBER(SEARCH(";"&amp;$A3&amp;";",";"&amp;SUBSTITUTE(INDEX(Services!$I$2:$I$27,MATCH(AB$1,Services!$A$2:$A$27,0))," ","")&amp;";")),"●","")</f>
        <v/>
      </c>
      <c r="AC3" s="23" t="n">
        <f aca="false">COUNTIF(C3:AB3,"●")</f>
        <v>2</v>
      </c>
    </row>
    <row r="4" customFormat="false" ht="15" hidden="false" customHeight="false" outlineLevel="0" collapsed="false">
      <c r="A4" s="21" t="s">
        <v>127</v>
      </c>
      <c r="B4" s="21" t="s">
        <v>667</v>
      </c>
      <c r="C4" s="22" t="str">
        <f aca="false">IF(ISNUMBER(SEARCH(";"&amp;$A4&amp;";",";"&amp;SUBSTITUTE(INDEX(Services!$I$2:$I$27,MATCH(C$1,Services!$A$2:$A$27,0))," ","")&amp;";")),"●","")</f>
        <v/>
      </c>
      <c r="D4" s="22" t="str">
        <f aca="false">IF(ISNUMBER(SEARCH(";"&amp;$A4&amp;";",";"&amp;SUBSTITUTE(INDEX(Services!$I$2:$I$27,MATCH(D$1,Services!$A$2:$A$27,0))," ","")&amp;";")),"●","")</f>
        <v/>
      </c>
      <c r="E4" s="22" t="str">
        <f aca="false">IF(ISNUMBER(SEARCH(";"&amp;$A4&amp;";",";"&amp;SUBSTITUTE(INDEX(Services!$I$2:$I$27,MATCH(E$1,Services!$A$2:$A$27,0))," ","")&amp;";")),"●","")</f>
        <v/>
      </c>
      <c r="F4" s="22" t="str">
        <f aca="false">IF(ISNUMBER(SEARCH(";"&amp;$A4&amp;";",";"&amp;SUBSTITUTE(INDEX(Services!$I$2:$I$27,MATCH(F$1,Services!$A$2:$A$27,0))," ","")&amp;";")),"●","")</f>
        <v/>
      </c>
      <c r="G4" s="22" t="str">
        <f aca="false">IF(ISNUMBER(SEARCH(";"&amp;$A4&amp;";",";"&amp;SUBSTITUTE(INDEX(Services!$I$2:$I$27,MATCH(G$1,Services!$A$2:$A$27,0))," ","")&amp;";")),"●","")</f>
        <v/>
      </c>
      <c r="H4" s="22" t="str">
        <f aca="false">IF(ISNUMBER(SEARCH(";"&amp;$A4&amp;";",";"&amp;SUBSTITUTE(INDEX(Services!$I$2:$I$27,MATCH(H$1,Services!$A$2:$A$27,0))," ","")&amp;";")),"●","")</f>
        <v/>
      </c>
      <c r="I4" s="22" t="str">
        <f aca="false">IF(ISNUMBER(SEARCH(";"&amp;$A4&amp;";",";"&amp;SUBSTITUTE(INDEX(Services!$I$2:$I$27,MATCH(I$1,Services!$A$2:$A$27,0))," ","")&amp;";")),"●","")</f>
        <v>●</v>
      </c>
      <c r="J4" s="22" t="str">
        <f aca="false">IF(ISNUMBER(SEARCH(";"&amp;$A4&amp;";",";"&amp;SUBSTITUTE(INDEX(Services!$I$2:$I$27,MATCH(J$1,Services!$A$2:$A$27,0))," ","")&amp;";")),"●","")</f>
        <v/>
      </c>
      <c r="K4" s="22" t="str">
        <f aca="false">IF(ISNUMBER(SEARCH(";"&amp;$A4&amp;";",";"&amp;SUBSTITUTE(INDEX(Services!$I$2:$I$27,MATCH(K$1,Services!$A$2:$A$27,0))," ","")&amp;";")),"●","")</f>
        <v/>
      </c>
      <c r="L4" s="22" t="str">
        <f aca="false">IF(ISNUMBER(SEARCH(";"&amp;$A4&amp;";",";"&amp;SUBSTITUTE(INDEX(Services!$I$2:$I$27,MATCH(L$1,Services!$A$2:$A$27,0))," ","")&amp;";")),"●","")</f>
        <v/>
      </c>
      <c r="M4" s="22" t="str">
        <f aca="false">IF(ISNUMBER(SEARCH(";"&amp;$A4&amp;";",";"&amp;SUBSTITUTE(INDEX(Services!$I$2:$I$27,MATCH(M$1,Services!$A$2:$A$27,0))," ","")&amp;";")),"●","")</f>
        <v/>
      </c>
      <c r="N4" s="22" t="str">
        <f aca="false">IF(ISNUMBER(SEARCH(";"&amp;$A4&amp;";",";"&amp;SUBSTITUTE(INDEX(Services!$I$2:$I$27,MATCH(N$1,Services!$A$2:$A$27,0))," ","")&amp;";")),"●","")</f>
        <v/>
      </c>
      <c r="O4" s="22" t="str">
        <f aca="false">IF(ISNUMBER(SEARCH(";"&amp;$A4&amp;";",";"&amp;SUBSTITUTE(INDEX(Services!$I$2:$I$27,MATCH(O$1,Services!$A$2:$A$27,0))," ","")&amp;";")),"●","")</f>
        <v/>
      </c>
      <c r="P4" s="22" t="str">
        <f aca="false">IF(ISNUMBER(SEARCH(";"&amp;$A4&amp;";",";"&amp;SUBSTITUTE(INDEX(Services!$I$2:$I$27,MATCH(P$1,Services!$A$2:$A$27,0))," ","")&amp;";")),"●","")</f>
        <v>●</v>
      </c>
      <c r="Q4" s="22" t="str">
        <f aca="false">IF(ISNUMBER(SEARCH(";"&amp;$A4&amp;";",";"&amp;SUBSTITUTE(INDEX(Services!$I$2:$I$27,MATCH(Q$1,Services!$A$2:$A$27,0))," ","")&amp;";")),"●","")</f>
        <v/>
      </c>
      <c r="R4" s="22" t="str">
        <f aca="false">IF(ISNUMBER(SEARCH(";"&amp;$A4&amp;";",";"&amp;SUBSTITUTE(INDEX(Services!$I$2:$I$27,MATCH(R$1,Services!$A$2:$A$27,0))," ","")&amp;";")),"●","")</f>
        <v/>
      </c>
      <c r="S4" s="22" t="str">
        <f aca="false">IF(ISNUMBER(SEARCH(";"&amp;$A4&amp;";",";"&amp;SUBSTITUTE(INDEX(Services!$I$2:$I$27,MATCH(S$1,Services!$A$2:$A$27,0))," ","")&amp;";")),"●","")</f>
        <v/>
      </c>
      <c r="T4" s="22" t="str">
        <f aca="false">IF(ISNUMBER(SEARCH(";"&amp;$A4&amp;";",";"&amp;SUBSTITUTE(INDEX(Services!$I$2:$I$27,MATCH(T$1,Services!$A$2:$A$27,0))," ","")&amp;";")),"●","")</f>
        <v/>
      </c>
      <c r="U4" s="22" t="str">
        <f aca="false">IF(ISNUMBER(SEARCH(";"&amp;$A4&amp;";",";"&amp;SUBSTITUTE(INDEX(Services!$I$2:$I$27,MATCH(U$1,Services!$A$2:$A$27,0))," ","")&amp;";")),"●","")</f>
        <v/>
      </c>
      <c r="V4" s="22" t="str">
        <f aca="false">IF(ISNUMBER(SEARCH(";"&amp;$A4&amp;";",";"&amp;SUBSTITUTE(INDEX(Services!$I$2:$I$27,MATCH(V$1,Services!$A$2:$A$27,0))," ","")&amp;";")),"●","")</f>
        <v/>
      </c>
      <c r="W4" s="22" t="str">
        <f aca="false">IF(ISNUMBER(SEARCH(";"&amp;$A4&amp;";",";"&amp;SUBSTITUTE(INDEX(Services!$I$2:$I$27,MATCH(W$1,Services!$A$2:$A$27,0))," ","")&amp;";")),"●","")</f>
        <v/>
      </c>
      <c r="X4" s="22" t="str">
        <f aca="false">IF(ISNUMBER(SEARCH(";"&amp;$A4&amp;";",";"&amp;SUBSTITUTE(INDEX(Services!$I$2:$I$27,MATCH(X$1,Services!$A$2:$A$27,0))," ","")&amp;";")),"●","")</f>
        <v/>
      </c>
      <c r="Y4" s="22" t="str">
        <f aca="false">IF(ISNUMBER(SEARCH(";"&amp;$A4&amp;";",";"&amp;SUBSTITUTE(INDEX(Services!$I$2:$I$27,MATCH(Y$1,Services!$A$2:$A$27,0))," ","")&amp;";")),"●","")</f>
        <v/>
      </c>
      <c r="Z4" s="22" t="str">
        <f aca="false">IF(ISNUMBER(SEARCH(";"&amp;$A4&amp;";",";"&amp;SUBSTITUTE(INDEX(Services!$I$2:$I$27,MATCH(Z$1,Services!$A$2:$A$27,0))," ","")&amp;";")),"●","")</f>
        <v/>
      </c>
      <c r="AA4" s="22" t="str">
        <f aca="false">IF(ISNUMBER(SEARCH(";"&amp;$A4&amp;";",";"&amp;SUBSTITUTE(INDEX(Services!$I$2:$I$27,MATCH(AA$1,Services!$A$2:$A$27,0))," ","")&amp;";")),"●","")</f>
        <v/>
      </c>
      <c r="AB4" s="22" t="str">
        <f aca="false">IF(ISNUMBER(SEARCH(";"&amp;$A4&amp;";",";"&amp;SUBSTITUTE(INDEX(Services!$I$2:$I$27,MATCH(AB$1,Services!$A$2:$A$27,0))," ","")&amp;";")),"●","")</f>
        <v/>
      </c>
      <c r="AC4" s="23" t="n">
        <f aca="false">COUNTIF(C4:AB4,"●")</f>
        <v>2</v>
      </c>
    </row>
    <row r="5" customFormat="false" ht="15" hidden="false" customHeight="false" outlineLevel="0" collapsed="false">
      <c r="A5" s="21" t="s">
        <v>137</v>
      </c>
      <c r="B5" s="21" t="s">
        <v>668</v>
      </c>
      <c r="C5" s="22" t="str">
        <f aca="false">IF(ISNUMBER(SEARCH(";"&amp;$A5&amp;";",";"&amp;SUBSTITUTE(INDEX(Services!$I$2:$I$27,MATCH(C$1,Services!$A$2:$A$27,0))," ","")&amp;";")),"●","")</f>
        <v/>
      </c>
      <c r="D5" s="22" t="str">
        <f aca="false">IF(ISNUMBER(SEARCH(";"&amp;$A5&amp;";",";"&amp;SUBSTITUTE(INDEX(Services!$I$2:$I$27,MATCH(D$1,Services!$A$2:$A$27,0))," ","")&amp;";")),"●","")</f>
        <v/>
      </c>
      <c r="E5" s="22" t="str">
        <f aca="false">IF(ISNUMBER(SEARCH(";"&amp;$A5&amp;";",";"&amp;SUBSTITUTE(INDEX(Services!$I$2:$I$27,MATCH(E$1,Services!$A$2:$A$27,0))," ","")&amp;";")),"●","")</f>
        <v/>
      </c>
      <c r="F5" s="22" t="str">
        <f aca="false">IF(ISNUMBER(SEARCH(";"&amp;$A5&amp;";",";"&amp;SUBSTITUTE(INDEX(Services!$I$2:$I$27,MATCH(F$1,Services!$A$2:$A$27,0))," ","")&amp;";")),"●","")</f>
        <v/>
      </c>
      <c r="G5" s="22" t="str">
        <f aca="false">IF(ISNUMBER(SEARCH(";"&amp;$A5&amp;";",";"&amp;SUBSTITUTE(INDEX(Services!$I$2:$I$27,MATCH(G$1,Services!$A$2:$A$27,0))," ","")&amp;";")),"●","")</f>
        <v/>
      </c>
      <c r="H5" s="22" t="str">
        <f aca="false">IF(ISNUMBER(SEARCH(";"&amp;$A5&amp;";",";"&amp;SUBSTITUTE(INDEX(Services!$I$2:$I$27,MATCH(H$1,Services!$A$2:$A$27,0))," ","")&amp;";")),"●","")</f>
        <v/>
      </c>
      <c r="I5" s="22" t="str">
        <f aca="false">IF(ISNUMBER(SEARCH(";"&amp;$A5&amp;";",";"&amp;SUBSTITUTE(INDEX(Services!$I$2:$I$27,MATCH(I$1,Services!$A$2:$A$27,0))," ","")&amp;";")),"●","")</f>
        <v>●</v>
      </c>
      <c r="J5" s="22" t="str">
        <f aca="false">IF(ISNUMBER(SEARCH(";"&amp;$A5&amp;";",";"&amp;SUBSTITUTE(INDEX(Services!$I$2:$I$27,MATCH(J$1,Services!$A$2:$A$27,0))," ","")&amp;";")),"●","")</f>
        <v>●</v>
      </c>
      <c r="K5" s="22" t="str">
        <f aca="false">IF(ISNUMBER(SEARCH(";"&amp;$A5&amp;";",";"&amp;SUBSTITUTE(INDEX(Services!$I$2:$I$27,MATCH(K$1,Services!$A$2:$A$27,0))," ","")&amp;";")),"●","")</f>
        <v/>
      </c>
      <c r="L5" s="22" t="str">
        <f aca="false">IF(ISNUMBER(SEARCH(";"&amp;$A5&amp;";",";"&amp;SUBSTITUTE(INDEX(Services!$I$2:$I$27,MATCH(L$1,Services!$A$2:$A$27,0))," ","")&amp;";")),"●","")</f>
        <v/>
      </c>
      <c r="M5" s="22" t="str">
        <f aca="false">IF(ISNUMBER(SEARCH(";"&amp;$A5&amp;";",";"&amp;SUBSTITUTE(INDEX(Services!$I$2:$I$27,MATCH(M$1,Services!$A$2:$A$27,0))," ","")&amp;";")),"●","")</f>
        <v/>
      </c>
      <c r="N5" s="22" t="str">
        <f aca="false">IF(ISNUMBER(SEARCH(";"&amp;$A5&amp;";",";"&amp;SUBSTITUTE(INDEX(Services!$I$2:$I$27,MATCH(N$1,Services!$A$2:$A$27,0))," ","")&amp;";")),"●","")</f>
        <v/>
      </c>
      <c r="O5" s="22" t="str">
        <f aca="false">IF(ISNUMBER(SEARCH(";"&amp;$A5&amp;";",";"&amp;SUBSTITUTE(INDEX(Services!$I$2:$I$27,MATCH(O$1,Services!$A$2:$A$27,0))," ","")&amp;";")),"●","")</f>
        <v/>
      </c>
      <c r="P5" s="22" t="str">
        <f aca="false">IF(ISNUMBER(SEARCH(";"&amp;$A5&amp;";",";"&amp;SUBSTITUTE(INDEX(Services!$I$2:$I$27,MATCH(P$1,Services!$A$2:$A$27,0))," ","")&amp;";")),"●","")</f>
        <v/>
      </c>
      <c r="Q5" s="22" t="str">
        <f aca="false">IF(ISNUMBER(SEARCH(";"&amp;$A5&amp;";",";"&amp;SUBSTITUTE(INDEX(Services!$I$2:$I$27,MATCH(Q$1,Services!$A$2:$A$27,0))," ","")&amp;";")),"●","")</f>
        <v>●</v>
      </c>
      <c r="R5" s="22" t="str">
        <f aca="false">IF(ISNUMBER(SEARCH(";"&amp;$A5&amp;";",";"&amp;SUBSTITUTE(INDEX(Services!$I$2:$I$27,MATCH(R$1,Services!$A$2:$A$27,0))," ","")&amp;";")),"●","")</f>
        <v/>
      </c>
      <c r="S5" s="22" t="str">
        <f aca="false">IF(ISNUMBER(SEARCH(";"&amp;$A5&amp;";",";"&amp;SUBSTITUTE(INDEX(Services!$I$2:$I$27,MATCH(S$1,Services!$A$2:$A$27,0))," ","")&amp;";")),"●","")</f>
        <v/>
      </c>
      <c r="T5" s="22" t="str">
        <f aca="false">IF(ISNUMBER(SEARCH(";"&amp;$A5&amp;";",";"&amp;SUBSTITUTE(INDEX(Services!$I$2:$I$27,MATCH(T$1,Services!$A$2:$A$27,0))," ","")&amp;";")),"●","")</f>
        <v>●</v>
      </c>
      <c r="U5" s="22" t="str">
        <f aca="false">IF(ISNUMBER(SEARCH(";"&amp;$A5&amp;";",";"&amp;SUBSTITUTE(INDEX(Services!$I$2:$I$27,MATCH(U$1,Services!$A$2:$A$27,0))," ","")&amp;";")),"●","")</f>
        <v/>
      </c>
      <c r="V5" s="22" t="str">
        <f aca="false">IF(ISNUMBER(SEARCH(";"&amp;$A5&amp;";",";"&amp;SUBSTITUTE(INDEX(Services!$I$2:$I$27,MATCH(V$1,Services!$A$2:$A$27,0))," ","")&amp;";")),"●","")</f>
        <v/>
      </c>
      <c r="W5" s="22" t="str">
        <f aca="false">IF(ISNUMBER(SEARCH(";"&amp;$A5&amp;";",";"&amp;SUBSTITUTE(INDEX(Services!$I$2:$I$27,MATCH(W$1,Services!$A$2:$A$27,0))," ","")&amp;";")),"●","")</f>
        <v/>
      </c>
      <c r="X5" s="22" t="str">
        <f aca="false">IF(ISNUMBER(SEARCH(";"&amp;$A5&amp;";",";"&amp;SUBSTITUTE(INDEX(Services!$I$2:$I$27,MATCH(X$1,Services!$A$2:$A$27,0))," ","")&amp;";")),"●","")</f>
        <v/>
      </c>
      <c r="Y5" s="22" t="str">
        <f aca="false">IF(ISNUMBER(SEARCH(";"&amp;$A5&amp;";",";"&amp;SUBSTITUTE(INDEX(Services!$I$2:$I$27,MATCH(Y$1,Services!$A$2:$A$27,0))," ","")&amp;";")),"●","")</f>
        <v/>
      </c>
      <c r="Z5" s="22" t="str">
        <f aca="false">IF(ISNUMBER(SEARCH(";"&amp;$A5&amp;";",";"&amp;SUBSTITUTE(INDEX(Services!$I$2:$I$27,MATCH(Z$1,Services!$A$2:$A$27,0))," ","")&amp;";")),"●","")</f>
        <v/>
      </c>
      <c r="AA5" s="22" t="str">
        <f aca="false">IF(ISNUMBER(SEARCH(";"&amp;$A5&amp;";",";"&amp;SUBSTITUTE(INDEX(Services!$I$2:$I$27,MATCH(AA$1,Services!$A$2:$A$27,0))," ","")&amp;";")),"●","")</f>
        <v/>
      </c>
      <c r="AB5" s="22" t="str">
        <f aca="false">IF(ISNUMBER(SEARCH(";"&amp;$A5&amp;";",";"&amp;SUBSTITUTE(INDEX(Services!$I$2:$I$27,MATCH(AB$1,Services!$A$2:$A$27,0))," ","")&amp;";")),"●","")</f>
        <v/>
      </c>
      <c r="AC5" s="23" t="n">
        <f aca="false">COUNTIF(C5:AB5,"●")</f>
        <v>4</v>
      </c>
    </row>
    <row r="6" customFormat="false" ht="15" hidden="false" customHeight="false" outlineLevel="0" collapsed="false">
      <c r="A6" s="21" t="s">
        <v>148</v>
      </c>
      <c r="B6" s="21" t="s">
        <v>669</v>
      </c>
      <c r="C6" s="22" t="str">
        <f aca="false">IF(ISNUMBER(SEARCH(";"&amp;$A6&amp;";",";"&amp;SUBSTITUTE(INDEX(Services!$I$2:$I$27,MATCH(C$1,Services!$A$2:$A$27,0))," ","")&amp;";")),"●","")</f>
        <v>●</v>
      </c>
      <c r="D6" s="22" t="str">
        <f aca="false">IF(ISNUMBER(SEARCH(";"&amp;$A6&amp;";",";"&amp;SUBSTITUTE(INDEX(Services!$I$2:$I$27,MATCH(D$1,Services!$A$2:$A$27,0))," ","")&amp;";")),"●","")</f>
        <v/>
      </c>
      <c r="E6" s="22" t="str">
        <f aca="false">IF(ISNUMBER(SEARCH(";"&amp;$A6&amp;";",";"&amp;SUBSTITUTE(INDEX(Services!$I$2:$I$27,MATCH(E$1,Services!$A$2:$A$27,0))," ","")&amp;";")),"●","")</f>
        <v/>
      </c>
      <c r="F6" s="22" t="str">
        <f aca="false">IF(ISNUMBER(SEARCH(";"&amp;$A6&amp;";",";"&amp;SUBSTITUTE(INDEX(Services!$I$2:$I$27,MATCH(F$1,Services!$A$2:$A$27,0))," ","")&amp;";")),"●","")</f>
        <v/>
      </c>
      <c r="G6" s="22" t="str">
        <f aca="false">IF(ISNUMBER(SEARCH(";"&amp;$A6&amp;";",";"&amp;SUBSTITUTE(INDEX(Services!$I$2:$I$27,MATCH(G$1,Services!$A$2:$A$27,0))," ","")&amp;";")),"●","")</f>
        <v/>
      </c>
      <c r="H6" s="22" t="str">
        <f aca="false">IF(ISNUMBER(SEARCH(";"&amp;$A6&amp;";",";"&amp;SUBSTITUTE(INDEX(Services!$I$2:$I$27,MATCH(H$1,Services!$A$2:$A$27,0))," ","")&amp;";")),"●","")</f>
        <v/>
      </c>
      <c r="I6" s="22" t="str">
        <f aca="false">IF(ISNUMBER(SEARCH(";"&amp;$A6&amp;";",";"&amp;SUBSTITUTE(INDEX(Services!$I$2:$I$27,MATCH(I$1,Services!$A$2:$A$27,0))," ","")&amp;";")),"●","")</f>
        <v/>
      </c>
      <c r="J6" s="22" t="str">
        <f aca="false">IF(ISNUMBER(SEARCH(";"&amp;$A6&amp;";",";"&amp;SUBSTITUTE(INDEX(Services!$I$2:$I$27,MATCH(J$1,Services!$A$2:$A$27,0))," ","")&amp;";")),"●","")</f>
        <v/>
      </c>
      <c r="K6" s="22" t="str">
        <f aca="false">IF(ISNUMBER(SEARCH(";"&amp;$A6&amp;";",";"&amp;SUBSTITUTE(INDEX(Services!$I$2:$I$27,MATCH(K$1,Services!$A$2:$A$27,0))," ","")&amp;";")),"●","")</f>
        <v/>
      </c>
      <c r="L6" s="22" t="str">
        <f aca="false">IF(ISNUMBER(SEARCH(";"&amp;$A6&amp;";",";"&amp;SUBSTITUTE(INDEX(Services!$I$2:$I$27,MATCH(L$1,Services!$A$2:$A$27,0))," ","")&amp;";")),"●","")</f>
        <v/>
      </c>
      <c r="M6" s="22" t="str">
        <f aca="false">IF(ISNUMBER(SEARCH(";"&amp;$A6&amp;";",";"&amp;SUBSTITUTE(INDEX(Services!$I$2:$I$27,MATCH(M$1,Services!$A$2:$A$27,0))," ","")&amp;";")),"●","")</f>
        <v/>
      </c>
      <c r="N6" s="22" t="str">
        <f aca="false">IF(ISNUMBER(SEARCH(";"&amp;$A6&amp;";",";"&amp;SUBSTITUTE(INDEX(Services!$I$2:$I$27,MATCH(N$1,Services!$A$2:$A$27,0))," ","")&amp;";")),"●","")</f>
        <v/>
      </c>
      <c r="O6" s="22" t="str">
        <f aca="false">IF(ISNUMBER(SEARCH(";"&amp;$A6&amp;";",";"&amp;SUBSTITUTE(INDEX(Services!$I$2:$I$27,MATCH(O$1,Services!$A$2:$A$27,0))," ","")&amp;";")),"●","")</f>
        <v/>
      </c>
      <c r="P6" s="22" t="str">
        <f aca="false">IF(ISNUMBER(SEARCH(";"&amp;$A6&amp;";",";"&amp;SUBSTITUTE(INDEX(Services!$I$2:$I$27,MATCH(P$1,Services!$A$2:$A$27,0))," ","")&amp;";")),"●","")</f>
        <v/>
      </c>
      <c r="Q6" s="22" t="str">
        <f aca="false">IF(ISNUMBER(SEARCH(";"&amp;$A6&amp;";",";"&amp;SUBSTITUTE(INDEX(Services!$I$2:$I$27,MATCH(Q$1,Services!$A$2:$A$27,0))," ","")&amp;";")),"●","")</f>
        <v/>
      </c>
      <c r="R6" s="22" t="str">
        <f aca="false">IF(ISNUMBER(SEARCH(";"&amp;$A6&amp;";",";"&amp;SUBSTITUTE(INDEX(Services!$I$2:$I$27,MATCH(R$1,Services!$A$2:$A$27,0))," ","")&amp;";")),"●","")</f>
        <v>●</v>
      </c>
      <c r="S6" s="22" t="str">
        <f aca="false">IF(ISNUMBER(SEARCH(";"&amp;$A6&amp;";",";"&amp;SUBSTITUTE(INDEX(Services!$I$2:$I$27,MATCH(S$1,Services!$A$2:$A$27,0))," ","")&amp;";")),"●","")</f>
        <v>●</v>
      </c>
      <c r="T6" s="22" t="str">
        <f aca="false">IF(ISNUMBER(SEARCH(";"&amp;$A6&amp;";",";"&amp;SUBSTITUTE(INDEX(Services!$I$2:$I$27,MATCH(T$1,Services!$A$2:$A$27,0))," ","")&amp;";")),"●","")</f>
        <v/>
      </c>
      <c r="U6" s="22" t="str">
        <f aca="false">IF(ISNUMBER(SEARCH(";"&amp;$A6&amp;";",";"&amp;SUBSTITUTE(INDEX(Services!$I$2:$I$27,MATCH(U$1,Services!$A$2:$A$27,0))," ","")&amp;";")),"●","")</f>
        <v/>
      </c>
      <c r="V6" s="22" t="str">
        <f aca="false">IF(ISNUMBER(SEARCH(";"&amp;$A6&amp;";",";"&amp;SUBSTITUTE(INDEX(Services!$I$2:$I$27,MATCH(V$1,Services!$A$2:$A$27,0))," ","")&amp;";")),"●","")</f>
        <v/>
      </c>
      <c r="W6" s="22" t="str">
        <f aca="false">IF(ISNUMBER(SEARCH(";"&amp;$A6&amp;";",";"&amp;SUBSTITUTE(INDEX(Services!$I$2:$I$27,MATCH(W$1,Services!$A$2:$A$27,0))," ","")&amp;";")),"●","")</f>
        <v/>
      </c>
      <c r="X6" s="22" t="str">
        <f aca="false">IF(ISNUMBER(SEARCH(";"&amp;$A6&amp;";",";"&amp;SUBSTITUTE(INDEX(Services!$I$2:$I$27,MATCH(X$1,Services!$A$2:$A$27,0))," ","")&amp;";")),"●","")</f>
        <v/>
      </c>
      <c r="Y6" s="22" t="str">
        <f aca="false">IF(ISNUMBER(SEARCH(";"&amp;$A6&amp;";",";"&amp;SUBSTITUTE(INDEX(Services!$I$2:$I$27,MATCH(Y$1,Services!$A$2:$A$27,0))," ","")&amp;";")),"●","")</f>
        <v/>
      </c>
      <c r="Z6" s="22" t="str">
        <f aca="false">IF(ISNUMBER(SEARCH(";"&amp;$A6&amp;";",";"&amp;SUBSTITUTE(INDEX(Services!$I$2:$I$27,MATCH(Z$1,Services!$A$2:$A$27,0))," ","")&amp;";")),"●","")</f>
        <v/>
      </c>
      <c r="AA6" s="22" t="str">
        <f aca="false">IF(ISNUMBER(SEARCH(";"&amp;$A6&amp;";",";"&amp;SUBSTITUTE(INDEX(Services!$I$2:$I$27,MATCH(AA$1,Services!$A$2:$A$27,0))," ","")&amp;";")),"●","")</f>
        <v/>
      </c>
      <c r="AB6" s="22" t="str">
        <f aca="false">IF(ISNUMBER(SEARCH(";"&amp;$A6&amp;";",";"&amp;SUBSTITUTE(INDEX(Services!$I$2:$I$27,MATCH(AB$1,Services!$A$2:$A$27,0))," ","")&amp;";")),"●","")</f>
        <v/>
      </c>
      <c r="AC6" s="23" t="n">
        <f aca="false">COUNTIF(C6:AB6,"●")</f>
        <v>3</v>
      </c>
    </row>
    <row r="7" customFormat="false" ht="15" hidden="false" customHeight="false" outlineLevel="0" collapsed="false">
      <c r="A7" s="21" t="s">
        <v>161</v>
      </c>
      <c r="B7" s="21" t="s">
        <v>670</v>
      </c>
      <c r="C7" s="22" t="str">
        <f aca="false">IF(ISNUMBER(SEARCH(";"&amp;$A7&amp;";",";"&amp;SUBSTITUTE(INDEX(Services!$I$2:$I$27,MATCH(C$1,Services!$A$2:$A$27,0))," ","")&amp;";")),"●","")</f>
        <v>●</v>
      </c>
      <c r="D7" s="22" t="str">
        <f aca="false">IF(ISNUMBER(SEARCH(";"&amp;$A7&amp;";",";"&amp;SUBSTITUTE(INDEX(Services!$I$2:$I$27,MATCH(D$1,Services!$A$2:$A$27,0))," ","")&amp;";")),"●","")</f>
        <v/>
      </c>
      <c r="E7" s="22" t="str">
        <f aca="false">IF(ISNUMBER(SEARCH(";"&amp;$A7&amp;";",";"&amp;SUBSTITUTE(INDEX(Services!$I$2:$I$27,MATCH(E$1,Services!$A$2:$A$27,0))," ","")&amp;";")),"●","")</f>
        <v/>
      </c>
      <c r="F7" s="22" t="str">
        <f aca="false">IF(ISNUMBER(SEARCH(";"&amp;$A7&amp;";",";"&amp;SUBSTITUTE(INDEX(Services!$I$2:$I$27,MATCH(F$1,Services!$A$2:$A$27,0))," ","")&amp;";")),"●","")</f>
        <v/>
      </c>
      <c r="G7" s="22" t="str">
        <f aca="false">IF(ISNUMBER(SEARCH(";"&amp;$A7&amp;";",";"&amp;SUBSTITUTE(INDEX(Services!$I$2:$I$27,MATCH(G$1,Services!$A$2:$A$27,0))," ","")&amp;";")),"●","")</f>
        <v/>
      </c>
      <c r="H7" s="22" t="str">
        <f aca="false">IF(ISNUMBER(SEARCH(";"&amp;$A7&amp;";",";"&amp;SUBSTITUTE(INDEX(Services!$I$2:$I$27,MATCH(H$1,Services!$A$2:$A$27,0))," ","")&amp;";")),"●","")</f>
        <v/>
      </c>
      <c r="I7" s="22" t="str">
        <f aca="false">IF(ISNUMBER(SEARCH(";"&amp;$A7&amp;";",";"&amp;SUBSTITUTE(INDEX(Services!$I$2:$I$27,MATCH(I$1,Services!$A$2:$A$27,0))," ","")&amp;";")),"●","")</f>
        <v/>
      </c>
      <c r="J7" s="22" t="str">
        <f aca="false">IF(ISNUMBER(SEARCH(";"&amp;$A7&amp;";",";"&amp;SUBSTITUTE(INDEX(Services!$I$2:$I$27,MATCH(J$1,Services!$A$2:$A$27,0))," ","")&amp;";")),"●","")</f>
        <v/>
      </c>
      <c r="K7" s="22" t="str">
        <f aca="false">IF(ISNUMBER(SEARCH(";"&amp;$A7&amp;";",";"&amp;SUBSTITUTE(INDEX(Services!$I$2:$I$27,MATCH(K$1,Services!$A$2:$A$27,0))," ","")&amp;";")),"●","")</f>
        <v/>
      </c>
      <c r="L7" s="22" t="str">
        <f aca="false">IF(ISNUMBER(SEARCH(";"&amp;$A7&amp;";",";"&amp;SUBSTITUTE(INDEX(Services!$I$2:$I$27,MATCH(L$1,Services!$A$2:$A$27,0))," ","")&amp;";")),"●","")</f>
        <v/>
      </c>
      <c r="M7" s="22" t="str">
        <f aca="false">IF(ISNUMBER(SEARCH(";"&amp;$A7&amp;";",";"&amp;SUBSTITUTE(INDEX(Services!$I$2:$I$27,MATCH(M$1,Services!$A$2:$A$27,0))," ","")&amp;";")),"●","")</f>
        <v/>
      </c>
      <c r="N7" s="22" t="str">
        <f aca="false">IF(ISNUMBER(SEARCH(";"&amp;$A7&amp;";",";"&amp;SUBSTITUTE(INDEX(Services!$I$2:$I$27,MATCH(N$1,Services!$A$2:$A$27,0))," ","")&amp;";")),"●","")</f>
        <v/>
      </c>
      <c r="O7" s="22" t="str">
        <f aca="false">IF(ISNUMBER(SEARCH(";"&amp;$A7&amp;";",";"&amp;SUBSTITUTE(INDEX(Services!$I$2:$I$27,MATCH(O$1,Services!$A$2:$A$27,0))," ","")&amp;";")),"●","")</f>
        <v/>
      </c>
      <c r="P7" s="22" t="str">
        <f aca="false">IF(ISNUMBER(SEARCH(";"&amp;$A7&amp;";",";"&amp;SUBSTITUTE(INDEX(Services!$I$2:$I$27,MATCH(P$1,Services!$A$2:$A$27,0))," ","")&amp;";")),"●","")</f>
        <v/>
      </c>
      <c r="Q7" s="22" t="str">
        <f aca="false">IF(ISNUMBER(SEARCH(";"&amp;$A7&amp;";",";"&amp;SUBSTITUTE(INDEX(Services!$I$2:$I$27,MATCH(Q$1,Services!$A$2:$A$27,0))," ","")&amp;";")),"●","")</f>
        <v/>
      </c>
      <c r="R7" s="22" t="str">
        <f aca="false">IF(ISNUMBER(SEARCH(";"&amp;$A7&amp;";",";"&amp;SUBSTITUTE(INDEX(Services!$I$2:$I$27,MATCH(R$1,Services!$A$2:$A$27,0))," ","")&amp;";")),"●","")</f>
        <v/>
      </c>
      <c r="S7" s="22" t="str">
        <f aca="false">IF(ISNUMBER(SEARCH(";"&amp;$A7&amp;";",";"&amp;SUBSTITUTE(INDEX(Services!$I$2:$I$27,MATCH(S$1,Services!$A$2:$A$27,0))," ","")&amp;";")),"●","")</f>
        <v>●</v>
      </c>
      <c r="T7" s="22" t="str">
        <f aca="false">IF(ISNUMBER(SEARCH(";"&amp;$A7&amp;";",";"&amp;SUBSTITUTE(INDEX(Services!$I$2:$I$27,MATCH(T$1,Services!$A$2:$A$27,0))," ","")&amp;";")),"●","")</f>
        <v/>
      </c>
      <c r="U7" s="22" t="str">
        <f aca="false">IF(ISNUMBER(SEARCH(";"&amp;$A7&amp;";",";"&amp;SUBSTITUTE(INDEX(Services!$I$2:$I$27,MATCH(U$1,Services!$A$2:$A$27,0))," ","")&amp;";")),"●","")</f>
        <v/>
      </c>
      <c r="V7" s="22" t="str">
        <f aca="false">IF(ISNUMBER(SEARCH(";"&amp;$A7&amp;";",";"&amp;SUBSTITUTE(INDEX(Services!$I$2:$I$27,MATCH(V$1,Services!$A$2:$A$27,0))," ","")&amp;";")),"●","")</f>
        <v/>
      </c>
      <c r="W7" s="22" t="str">
        <f aca="false">IF(ISNUMBER(SEARCH(";"&amp;$A7&amp;";",";"&amp;SUBSTITUTE(INDEX(Services!$I$2:$I$27,MATCH(W$1,Services!$A$2:$A$27,0))," ","")&amp;";")),"●","")</f>
        <v/>
      </c>
      <c r="X7" s="22" t="str">
        <f aca="false">IF(ISNUMBER(SEARCH(";"&amp;$A7&amp;";",";"&amp;SUBSTITUTE(INDEX(Services!$I$2:$I$27,MATCH(X$1,Services!$A$2:$A$27,0))," ","")&amp;";")),"●","")</f>
        <v/>
      </c>
      <c r="Y7" s="22" t="str">
        <f aca="false">IF(ISNUMBER(SEARCH(";"&amp;$A7&amp;";",";"&amp;SUBSTITUTE(INDEX(Services!$I$2:$I$27,MATCH(Y$1,Services!$A$2:$A$27,0))," ","")&amp;";")),"●","")</f>
        <v/>
      </c>
      <c r="Z7" s="22" t="str">
        <f aca="false">IF(ISNUMBER(SEARCH(";"&amp;$A7&amp;";",";"&amp;SUBSTITUTE(INDEX(Services!$I$2:$I$27,MATCH(Z$1,Services!$A$2:$A$27,0))," ","")&amp;";")),"●","")</f>
        <v/>
      </c>
      <c r="AA7" s="22" t="str">
        <f aca="false">IF(ISNUMBER(SEARCH(";"&amp;$A7&amp;";",";"&amp;SUBSTITUTE(INDEX(Services!$I$2:$I$27,MATCH(AA$1,Services!$A$2:$A$27,0))," ","")&amp;";")),"●","")</f>
        <v/>
      </c>
      <c r="AB7" s="22" t="str">
        <f aca="false">IF(ISNUMBER(SEARCH(";"&amp;$A7&amp;";",";"&amp;SUBSTITUTE(INDEX(Services!$I$2:$I$27,MATCH(AB$1,Services!$A$2:$A$27,0))," ","")&amp;";")),"●","")</f>
        <v/>
      </c>
      <c r="AC7" s="23" t="n">
        <f aca="false">COUNTIF(C7:AB7,"●")</f>
        <v>2</v>
      </c>
    </row>
    <row r="8" customFormat="false" ht="15" hidden="false" customHeight="false" outlineLevel="0" collapsed="false">
      <c r="A8" s="21" t="s">
        <v>171</v>
      </c>
      <c r="B8" s="21" t="s">
        <v>671</v>
      </c>
      <c r="C8" s="22" t="str">
        <f aca="false">IF(ISNUMBER(SEARCH(";"&amp;$A8&amp;";",";"&amp;SUBSTITUTE(INDEX(Services!$I$2:$I$27,MATCH(C$1,Services!$A$2:$A$27,0))," ","")&amp;";")),"●","")</f>
        <v/>
      </c>
      <c r="D8" s="22" t="str">
        <f aca="false">IF(ISNUMBER(SEARCH(";"&amp;$A8&amp;";",";"&amp;SUBSTITUTE(INDEX(Services!$I$2:$I$27,MATCH(D$1,Services!$A$2:$A$27,0))," ","")&amp;";")),"●","")</f>
        <v/>
      </c>
      <c r="E8" s="22" t="str">
        <f aca="false">IF(ISNUMBER(SEARCH(";"&amp;$A8&amp;";",";"&amp;SUBSTITUTE(INDEX(Services!$I$2:$I$27,MATCH(E$1,Services!$A$2:$A$27,0))," ","")&amp;";")),"●","")</f>
        <v/>
      </c>
      <c r="F8" s="22" t="str">
        <f aca="false">IF(ISNUMBER(SEARCH(";"&amp;$A8&amp;";",";"&amp;SUBSTITUTE(INDEX(Services!$I$2:$I$27,MATCH(F$1,Services!$A$2:$A$27,0))," ","")&amp;";")),"●","")</f>
        <v/>
      </c>
      <c r="G8" s="22" t="str">
        <f aca="false">IF(ISNUMBER(SEARCH(";"&amp;$A8&amp;";",";"&amp;SUBSTITUTE(INDEX(Services!$I$2:$I$27,MATCH(G$1,Services!$A$2:$A$27,0))," ","")&amp;";")),"●","")</f>
        <v/>
      </c>
      <c r="H8" s="22" t="str">
        <f aca="false">IF(ISNUMBER(SEARCH(";"&amp;$A8&amp;";",";"&amp;SUBSTITUTE(INDEX(Services!$I$2:$I$27,MATCH(H$1,Services!$A$2:$A$27,0))," ","")&amp;";")),"●","")</f>
        <v/>
      </c>
      <c r="I8" s="22" t="str">
        <f aca="false">IF(ISNUMBER(SEARCH(";"&amp;$A8&amp;";",";"&amp;SUBSTITUTE(INDEX(Services!$I$2:$I$27,MATCH(I$1,Services!$A$2:$A$27,0))," ","")&amp;";")),"●","")</f>
        <v/>
      </c>
      <c r="J8" s="22" t="str">
        <f aca="false">IF(ISNUMBER(SEARCH(";"&amp;$A8&amp;";",";"&amp;SUBSTITUTE(INDEX(Services!$I$2:$I$27,MATCH(J$1,Services!$A$2:$A$27,0))," ","")&amp;";")),"●","")</f>
        <v>●</v>
      </c>
      <c r="K8" s="22" t="str">
        <f aca="false">IF(ISNUMBER(SEARCH(";"&amp;$A8&amp;";",";"&amp;SUBSTITUTE(INDEX(Services!$I$2:$I$27,MATCH(K$1,Services!$A$2:$A$27,0))," ","")&amp;";")),"●","")</f>
        <v>●</v>
      </c>
      <c r="L8" s="22" t="str">
        <f aca="false">IF(ISNUMBER(SEARCH(";"&amp;$A8&amp;";",";"&amp;SUBSTITUTE(INDEX(Services!$I$2:$I$27,MATCH(L$1,Services!$A$2:$A$27,0))," ","")&amp;";")),"●","")</f>
        <v/>
      </c>
      <c r="M8" s="22" t="str">
        <f aca="false">IF(ISNUMBER(SEARCH(";"&amp;$A8&amp;";",";"&amp;SUBSTITUTE(INDEX(Services!$I$2:$I$27,MATCH(M$1,Services!$A$2:$A$27,0))," ","")&amp;";")),"●","")</f>
        <v/>
      </c>
      <c r="N8" s="22" t="str">
        <f aca="false">IF(ISNUMBER(SEARCH(";"&amp;$A8&amp;";",";"&amp;SUBSTITUTE(INDEX(Services!$I$2:$I$27,MATCH(N$1,Services!$A$2:$A$27,0))," ","")&amp;";")),"●","")</f>
        <v/>
      </c>
      <c r="O8" s="22" t="str">
        <f aca="false">IF(ISNUMBER(SEARCH(";"&amp;$A8&amp;";",";"&amp;SUBSTITUTE(INDEX(Services!$I$2:$I$27,MATCH(O$1,Services!$A$2:$A$27,0))," ","")&amp;";")),"●","")</f>
        <v/>
      </c>
      <c r="P8" s="22" t="str">
        <f aca="false">IF(ISNUMBER(SEARCH(";"&amp;$A8&amp;";",";"&amp;SUBSTITUTE(INDEX(Services!$I$2:$I$27,MATCH(P$1,Services!$A$2:$A$27,0))," ","")&amp;";")),"●","")</f>
        <v/>
      </c>
      <c r="Q8" s="22" t="str">
        <f aca="false">IF(ISNUMBER(SEARCH(";"&amp;$A8&amp;";",";"&amp;SUBSTITUTE(INDEX(Services!$I$2:$I$27,MATCH(Q$1,Services!$A$2:$A$27,0))," ","")&amp;";")),"●","")</f>
        <v/>
      </c>
      <c r="R8" s="22" t="str">
        <f aca="false">IF(ISNUMBER(SEARCH(";"&amp;$A8&amp;";",";"&amp;SUBSTITUTE(INDEX(Services!$I$2:$I$27,MATCH(R$1,Services!$A$2:$A$27,0))," ","")&amp;";")),"●","")</f>
        <v/>
      </c>
      <c r="S8" s="22" t="str">
        <f aca="false">IF(ISNUMBER(SEARCH(";"&amp;$A8&amp;";",";"&amp;SUBSTITUTE(INDEX(Services!$I$2:$I$27,MATCH(S$1,Services!$A$2:$A$27,0))," ","")&amp;";")),"●","")</f>
        <v>●</v>
      </c>
      <c r="T8" s="22" t="str">
        <f aca="false">IF(ISNUMBER(SEARCH(";"&amp;$A8&amp;";",";"&amp;SUBSTITUTE(INDEX(Services!$I$2:$I$27,MATCH(T$1,Services!$A$2:$A$27,0))," ","")&amp;";")),"●","")</f>
        <v/>
      </c>
      <c r="U8" s="22" t="str">
        <f aca="false">IF(ISNUMBER(SEARCH(";"&amp;$A8&amp;";",";"&amp;SUBSTITUTE(INDEX(Services!$I$2:$I$27,MATCH(U$1,Services!$A$2:$A$27,0))," ","")&amp;";")),"●","")</f>
        <v/>
      </c>
      <c r="V8" s="22" t="str">
        <f aca="false">IF(ISNUMBER(SEARCH(";"&amp;$A8&amp;";",";"&amp;SUBSTITUTE(INDEX(Services!$I$2:$I$27,MATCH(V$1,Services!$A$2:$A$27,0))," ","")&amp;";")),"●","")</f>
        <v/>
      </c>
      <c r="W8" s="22" t="str">
        <f aca="false">IF(ISNUMBER(SEARCH(";"&amp;$A8&amp;";",";"&amp;SUBSTITUTE(INDEX(Services!$I$2:$I$27,MATCH(W$1,Services!$A$2:$A$27,0))," ","")&amp;";")),"●","")</f>
        <v/>
      </c>
      <c r="X8" s="22" t="str">
        <f aca="false">IF(ISNUMBER(SEARCH(";"&amp;$A8&amp;";",";"&amp;SUBSTITUTE(INDEX(Services!$I$2:$I$27,MATCH(X$1,Services!$A$2:$A$27,0))," ","")&amp;";")),"●","")</f>
        <v/>
      </c>
      <c r="Y8" s="22" t="str">
        <f aca="false">IF(ISNUMBER(SEARCH(";"&amp;$A8&amp;";",";"&amp;SUBSTITUTE(INDEX(Services!$I$2:$I$27,MATCH(Y$1,Services!$A$2:$A$27,0))," ","")&amp;";")),"●","")</f>
        <v/>
      </c>
      <c r="Z8" s="22" t="str">
        <f aca="false">IF(ISNUMBER(SEARCH(";"&amp;$A8&amp;";",";"&amp;SUBSTITUTE(INDEX(Services!$I$2:$I$27,MATCH(Z$1,Services!$A$2:$A$27,0))," ","")&amp;";")),"●","")</f>
        <v/>
      </c>
      <c r="AA8" s="22" t="str">
        <f aca="false">IF(ISNUMBER(SEARCH(";"&amp;$A8&amp;";",";"&amp;SUBSTITUTE(INDEX(Services!$I$2:$I$27,MATCH(AA$1,Services!$A$2:$A$27,0))," ","")&amp;";")),"●","")</f>
        <v/>
      </c>
      <c r="AB8" s="22" t="str">
        <f aca="false">IF(ISNUMBER(SEARCH(";"&amp;$A8&amp;";",";"&amp;SUBSTITUTE(INDEX(Services!$I$2:$I$27,MATCH(AB$1,Services!$A$2:$A$27,0))," ","")&amp;";")),"●","")</f>
        <v/>
      </c>
      <c r="AC8" s="23" t="n">
        <f aca="false">COUNTIF(C8:AB8,"●")</f>
        <v>3</v>
      </c>
    </row>
    <row r="9" customFormat="false" ht="15" hidden="false" customHeight="false" outlineLevel="0" collapsed="false">
      <c r="A9" s="21" t="s">
        <v>181</v>
      </c>
      <c r="B9" s="21" t="s">
        <v>672</v>
      </c>
      <c r="C9" s="22" t="str">
        <f aca="false">IF(ISNUMBER(SEARCH(";"&amp;$A9&amp;";",";"&amp;SUBSTITUTE(INDEX(Services!$I$2:$I$27,MATCH(C$1,Services!$A$2:$A$27,0))," ","")&amp;";")),"●","")</f>
        <v>●</v>
      </c>
      <c r="D9" s="22" t="str">
        <f aca="false">IF(ISNUMBER(SEARCH(";"&amp;$A9&amp;";",";"&amp;SUBSTITUTE(INDEX(Services!$I$2:$I$27,MATCH(D$1,Services!$A$2:$A$27,0))," ","")&amp;";")),"●","")</f>
        <v/>
      </c>
      <c r="E9" s="22" t="str">
        <f aca="false">IF(ISNUMBER(SEARCH(";"&amp;$A9&amp;";",";"&amp;SUBSTITUTE(INDEX(Services!$I$2:$I$27,MATCH(E$1,Services!$A$2:$A$27,0))," ","")&amp;";")),"●","")</f>
        <v/>
      </c>
      <c r="F9" s="22" t="str">
        <f aca="false">IF(ISNUMBER(SEARCH(";"&amp;$A9&amp;";",";"&amp;SUBSTITUTE(INDEX(Services!$I$2:$I$27,MATCH(F$1,Services!$A$2:$A$27,0))," ","")&amp;";")),"●","")</f>
        <v/>
      </c>
      <c r="G9" s="22" t="str">
        <f aca="false">IF(ISNUMBER(SEARCH(";"&amp;$A9&amp;";",";"&amp;SUBSTITUTE(INDEX(Services!$I$2:$I$27,MATCH(G$1,Services!$A$2:$A$27,0))," ","")&amp;";")),"●","")</f>
        <v/>
      </c>
      <c r="H9" s="22" t="str">
        <f aca="false">IF(ISNUMBER(SEARCH(";"&amp;$A9&amp;";",";"&amp;SUBSTITUTE(INDEX(Services!$I$2:$I$27,MATCH(H$1,Services!$A$2:$A$27,0))," ","")&amp;";")),"●","")</f>
        <v/>
      </c>
      <c r="I9" s="22" t="str">
        <f aca="false">IF(ISNUMBER(SEARCH(";"&amp;$A9&amp;";",";"&amp;SUBSTITUTE(INDEX(Services!$I$2:$I$27,MATCH(I$1,Services!$A$2:$A$27,0))," ","")&amp;";")),"●","")</f>
        <v/>
      </c>
      <c r="J9" s="22" t="str">
        <f aca="false">IF(ISNUMBER(SEARCH(";"&amp;$A9&amp;";",";"&amp;SUBSTITUTE(INDEX(Services!$I$2:$I$27,MATCH(J$1,Services!$A$2:$A$27,0))," ","")&amp;";")),"●","")</f>
        <v/>
      </c>
      <c r="K9" s="22" t="str">
        <f aca="false">IF(ISNUMBER(SEARCH(";"&amp;$A9&amp;";",";"&amp;SUBSTITUTE(INDEX(Services!$I$2:$I$27,MATCH(K$1,Services!$A$2:$A$27,0))," ","")&amp;";")),"●","")</f>
        <v/>
      </c>
      <c r="L9" s="22" t="str">
        <f aca="false">IF(ISNUMBER(SEARCH(";"&amp;$A9&amp;";",";"&amp;SUBSTITUTE(INDEX(Services!$I$2:$I$27,MATCH(L$1,Services!$A$2:$A$27,0))," ","")&amp;";")),"●","")</f>
        <v/>
      </c>
      <c r="M9" s="22" t="str">
        <f aca="false">IF(ISNUMBER(SEARCH(";"&amp;$A9&amp;";",";"&amp;SUBSTITUTE(INDEX(Services!$I$2:$I$27,MATCH(M$1,Services!$A$2:$A$27,0))," ","")&amp;";")),"●","")</f>
        <v/>
      </c>
      <c r="N9" s="22" t="str">
        <f aca="false">IF(ISNUMBER(SEARCH(";"&amp;$A9&amp;";",";"&amp;SUBSTITUTE(INDEX(Services!$I$2:$I$27,MATCH(N$1,Services!$A$2:$A$27,0))," ","")&amp;";")),"●","")</f>
        <v/>
      </c>
      <c r="O9" s="22" t="str">
        <f aca="false">IF(ISNUMBER(SEARCH(";"&amp;$A9&amp;";",";"&amp;SUBSTITUTE(INDEX(Services!$I$2:$I$27,MATCH(O$1,Services!$A$2:$A$27,0))," ","")&amp;";")),"●","")</f>
        <v/>
      </c>
      <c r="P9" s="22" t="str">
        <f aca="false">IF(ISNUMBER(SEARCH(";"&amp;$A9&amp;";",";"&amp;SUBSTITUTE(INDEX(Services!$I$2:$I$27,MATCH(P$1,Services!$A$2:$A$27,0))," ","")&amp;";")),"●","")</f>
        <v/>
      </c>
      <c r="Q9" s="22" t="str">
        <f aca="false">IF(ISNUMBER(SEARCH(";"&amp;$A9&amp;";",";"&amp;SUBSTITUTE(INDEX(Services!$I$2:$I$27,MATCH(Q$1,Services!$A$2:$A$27,0))," ","")&amp;";")),"●","")</f>
        <v/>
      </c>
      <c r="R9" s="22" t="str">
        <f aca="false">IF(ISNUMBER(SEARCH(";"&amp;$A9&amp;";",";"&amp;SUBSTITUTE(INDEX(Services!$I$2:$I$27,MATCH(R$1,Services!$A$2:$A$27,0))," ","")&amp;";")),"●","")</f>
        <v/>
      </c>
      <c r="S9" s="22" t="str">
        <f aca="false">IF(ISNUMBER(SEARCH(";"&amp;$A9&amp;";",";"&amp;SUBSTITUTE(INDEX(Services!$I$2:$I$27,MATCH(S$1,Services!$A$2:$A$27,0))," ","")&amp;";")),"●","")</f>
        <v/>
      </c>
      <c r="T9" s="22" t="str">
        <f aca="false">IF(ISNUMBER(SEARCH(";"&amp;$A9&amp;";",";"&amp;SUBSTITUTE(INDEX(Services!$I$2:$I$27,MATCH(T$1,Services!$A$2:$A$27,0))," ","")&amp;";")),"●","")</f>
        <v/>
      </c>
      <c r="U9" s="22" t="str">
        <f aca="false">IF(ISNUMBER(SEARCH(";"&amp;$A9&amp;";",";"&amp;SUBSTITUTE(INDEX(Services!$I$2:$I$27,MATCH(U$1,Services!$A$2:$A$27,0))," ","")&amp;";")),"●","")</f>
        <v/>
      </c>
      <c r="V9" s="22" t="str">
        <f aca="false">IF(ISNUMBER(SEARCH(";"&amp;$A9&amp;";",";"&amp;SUBSTITUTE(INDEX(Services!$I$2:$I$27,MATCH(V$1,Services!$A$2:$A$27,0))," ","")&amp;";")),"●","")</f>
        <v/>
      </c>
      <c r="W9" s="22" t="str">
        <f aca="false">IF(ISNUMBER(SEARCH(";"&amp;$A9&amp;";",";"&amp;SUBSTITUTE(INDEX(Services!$I$2:$I$27,MATCH(W$1,Services!$A$2:$A$27,0))," ","")&amp;";")),"●","")</f>
        <v/>
      </c>
      <c r="X9" s="22" t="str">
        <f aca="false">IF(ISNUMBER(SEARCH(";"&amp;$A9&amp;";",";"&amp;SUBSTITUTE(INDEX(Services!$I$2:$I$27,MATCH(X$1,Services!$A$2:$A$27,0))," ","")&amp;";")),"●","")</f>
        <v/>
      </c>
      <c r="Y9" s="22" t="str">
        <f aca="false">IF(ISNUMBER(SEARCH(";"&amp;$A9&amp;";",";"&amp;SUBSTITUTE(INDEX(Services!$I$2:$I$27,MATCH(Y$1,Services!$A$2:$A$27,0))," ","")&amp;";")),"●","")</f>
        <v/>
      </c>
      <c r="Z9" s="22" t="str">
        <f aca="false">IF(ISNUMBER(SEARCH(";"&amp;$A9&amp;";",";"&amp;SUBSTITUTE(INDEX(Services!$I$2:$I$27,MATCH(Z$1,Services!$A$2:$A$27,0))," ","")&amp;";")),"●","")</f>
        <v/>
      </c>
      <c r="AA9" s="22" t="str">
        <f aca="false">IF(ISNUMBER(SEARCH(";"&amp;$A9&amp;";",";"&amp;SUBSTITUTE(INDEX(Services!$I$2:$I$27,MATCH(AA$1,Services!$A$2:$A$27,0))," ","")&amp;";")),"●","")</f>
        <v/>
      </c>
      <c r="AB9" s="22" t="str">
        <f aca="false">IF(ISNUMBER(SEARCH(";"&amp;$A9&amp;";",";"&amp;SUBSTITUTE(INDEX(Services!$I$2:$I$27,MATCH(AB$1,Services!$A$2:$A$27,0))," ","")&amp;";")),"●","")</f>
        <v/>
      </c>
      <c r="AC9" s="23" t="n">
        <f aca="false">COUNTIF(C9:AB9,"●")</f>
        <v>1</v>
      </c>
    </row>
    <row r="10" customFormat="false" ht="15" hidden="false" customHeight="false" outlineLevel="0" collapsed="false">
      <c r="A10" s="21" t="s">
        <v>193</v>
      </c>
      <c r="B10" s="21" t="s">
        <v>673</v>
      </c>
      <c r="C10" s="22" t="str">
        <f aca="false">IF(ISNUMBER(SEARCH(";"&amp;$A10&amp;";",";"&amp;SUBSTITUTE(INDEX(Services!$I$2:$I$27,MATCH(C$1,Services!$A$2:$A$27,0))," ","")&amp;";")),"●","")</f>
        <v/>
      </c>
      <c r="D10" s="22" t="str">
        <f aca="false">IF(ISNUMBER(SEARCH(";"&amp;$A10&amp;";",";"&amp;SUBSTITUTE(INDEX(Services!$I$2:$I$27,MATCH(D$1,Services!$A$2:$A$27,0))," ","")&amp;";")),"●","")</f>
        <v/>
      </c>
      <c r="E10" s="22" t="str">
        <f aca="false">IF(ISNUMBER(SEARCH(";"&amp;$A10&amp;";",";"&amp;SUBSTITUTE(INDEX(Services!$I$2:$I$27,MATCH(E$1,Services!$A$2:$A$27,0))," ","")&amp;";")),"●","")</f>
        <v/>
      </c>
      <c r="F10" s="22" t="str">
        <f aca="false">IF(ISNUMBER(SEARCH(";"&amp;$A10&amp;";",";"&amp;SUBSTITUTE(INDEX(Services!$I$2:$I$27,MATCH(F$1,Services!$A$2:$A$27,0))," ","")&amp;";")),"●","")</f>
        <v/>
      </c>
      <c r="G10" s="22" t="str">
        <f aca="false">IF(ISNUMBER(SEARCH(";"&amp;$A10&amp;";",";"&amp;SUBSTITUTE(INDEX(Services!$I$2:$I$27,MATCH(G$1,Services!$A$2:$A$27,0))," ","")&amp;";")),"●","")</f>
        <v/>
      </c>
      <c r="H10" s="22" t="str">
        <f aca="false">IF(ISNUMBER(SEARCH(";"&amp;$A10&amp;";",";"&amp;SUBSTITUTE(INDEX(Services!$I$2:$I$27,MATCH(H$1,Services!$A$2:$A$27,0))," ","")&amp;";")),"●","")</f>
        <v/>
      </c>
      <c r="I10" s="22" t="str">
        <f aca="false">IF(ISNUMBER(SEARCH(";"&amp;$A10&amp;";",";"&amp;SUBSTITUTE(INDEX(Services!$I$2:$I$27,MATCH(I$1,Services!$A$2:$A$27,0))," ","")&amp;";")),"●","")</f>
        <v/>
      </c>
      <c r="J10" s="22" t="str">
        <f aca="false">IF(ISNUMBER(SEARCH(";"&amp;$A10&amp;";",";"&amp;SUBSTITUTE(INDEX(Services!$I$2:$I$27,MATCH(J$1,Services!$A$2:$A$27,0))," ","")&amp;";")),"●","")</f>
        <v/>
      </c>
      <c r="K10" s="22" t="str">
        <f aca="false">IF(ISNUMBER(SEARCH(";"&amp;$A10&amp;";",";"&amp;SUBSTITUTE(INDEX(Services!$I$2:$I$27,MATCH(K$1,Services!$A$2:$A$27,0))," ","")&amp;";")),"●","")</f>
        <v>●</v>
      </c>
      <c r="L10" s="22" t="str">
        <f aca="false">IF(ISNUMBER(SEARCH(";"&amp;$A10&amp;";",";"&amp;SUBSTITUTE(INDEX(Services!$I$2:$I$27,MATCH(L$1,Services!$A$2:$A$27,0))," ","")&amp;";")),"●","")</f>
        <v>●</v>
      </c>
      <c r="M10" s="22" t="str">
        <f aca="false">IF(ISNUMBER(SEARCH(";"&amp;$A10&amp;";",";"&amp;SUBSTITUTE(INDEX(Services!$I$2:$I$27,MATCH(M$1,Services!$A$2:$A$27,0))," ","")&amp;";")),"●","")</f>
        <v/>
      </c>
      <c r="N10" s="22" t="str">
        <f aca="false">IF(ISNUMBER(SEARCH(";"&amp;$A10&amp;";",";"&amp;SUBSTITUTE(INDEX(Services!$I$2:$I$27,MATCH(N$1,Services!$A$2:$A$27,0))," ","")&amp;";")),"●","")</f>
        <v/>
      </c>
      <c r="O10" s="22" t="str">
        <f aca="false">IF(ISNUMBER(SEARCH(";"&amp;$A10&amp;";",";"&amp;SUBSTITUTE(INDEX(Services!$I$2:$I$27,MATCH(O$1,Services!$A$2:$A$27,0))," ","")&amp;";")),"●","")</f>
        <v/>
      </c>
      <c r="P10" s="22" t="str">
        <f aca="false">IF(ISNUMBER(SEARCH(";"&amp;$A10&amp;";",";"&amp;SUBSTITUTE(INDEX(Services!$I$2:$I$27,MATCH(P$1,Services!$A$2:$A$27,0))," ","")&amp;";")),"●","")</f>
        <v/>
      </c>
      <c r="Q10" s="22" t="str">
        <f aca="false">IF(ISNUMBER(SEARCH(";"&amp;$A10&amp;";",";"&amp;SUBSTITUTE(INDEX(Services!$I$2:$I$27,MATCH(Q$1,Services!$A$2:$A$27,0))," ","")&amp;";")),"●","")</f>
        <v>●</v>
      </c>
      <c r="R10" s="22" t="str">
        <f aca="false">IF(ISNUMBER(SEARCH(";"&amp;$A10&amp;";",";"&amp;SUBSTITUTE(INDEX(Services!$I$2:$I$27,MATCH(R$1,Services!$A$2:$A$27,0))," ","")&amp;";")),"●","")</f>
        <v/>
      </c>
      <c r="S10" s="22" t="str">
        <f aca="false">IF(ISNUMBER(SEARCH(";"&amp;$A10&amp;";",";"&amp;SUBSTITUTE(INDEX(Services!$I$2:$I$27,MATCH(S$1,Services!$A$2:$A$27,0))," ","")&amp;";")),"●","")</f>
        <v/>
      </c>
      <c r="T10" s="22" t="str">
        <f aca="false">IF(ISNUMBER(SEARCH(";"&amp;$A10&amp;";",";"&amp;SUBSTITUTE(INDEX(Services!$I$2:$I$27,MATCH(T$1,Services!$A$2:$A$27,0))," ","")&amp;";")),"●","")</f>
        <v/>
      </c>
      <c r="U10" s="22" t="str">
        <f aca="false">IF(ISNUMBER(SEARCH(";"&amp;$A10&amp;";",";"&amp;SUBSTITUTE(INDEX(Services!$I$2:$I$27,MATCH(U$1,Services!$A$2:$A$27,0))," ","")&amp;";")),"●","")</f>
        <v/>
      </c>
      <c r="V10" s="22" t="str">
        <f aca="false">IF(ISNUMBER(SEARCH(";"&amp;$A10&amp;";",";"&amp;SUBSTITUTE(INDEX(Services!$I$2:$I$27,MATCH(V$1,Services!$A$2:$A$27,0))," ","")&amp;";")),"●","")</f>
        <v/>
      </c>
      <c r="W10" s="22" t="str">
        <f aca="false">IF(ISNUMBER(SEARCH(";"&amp;$A10&amp;";",";"&amp;SUBSTITUTE(INDEX(Services!$I$2:$I$27,MATCH(W$1,Services!$A$2:$A$27,0))," ","")&amp;";")),"●","")</f>
        <v/>
      </c>
      <c r="X10" s="22" t="str">
        <f aca="false">IF(ISNUMBER(SEARCH(";"&amp;$A10&amp;";",";"&amp;SUBSTITUTE(INDEX(Services!$I$2:$I$27,MATCH(X$1,Services!$A$2:$A$27,0))," ","")&amp;";")),"●","")</f>
        <v/>
      </c>
      <c r="Y10" s="22" t="str">
        <f aca="false">IF(ISNUMBER(SEARCH(";"&amp;$A10&amp;";",";"&amp;SUBSTITUTE(INDEX(Services!$I$2:$I$27,MATCH(Y$1,Services!$A$2:$A$27,0))," ","")&amp;";")),"●","")</f>
        <v/>
      </c>
      <c r="Z10" s="22" t="str">
        <f aca="false">IF(ISNUMBER(SEARCH(";"&amp;$A10&amp;";",";"&amp;SUBSTITUTE(INDEX(Services!$I$2:$I$27,MATCH(Z$1,Services!$A$2:$A$27,0))," ","")&amp;";")),"●","")</f>
        <v/>
      </c>
      <c r="AA10" s="22" t="str">
        <f aca="false">IF(ISNUMBER(SEARCH(";"&amp;$A10&amp;";",";"&amp;SUBSTITUTE(INDEX(Services!$I$2:$I$27,MATCH(AA$1,Services!$A$2:$A$27,0))," ","")&amp;";")),"●","")</f>
        <v>●</v>
      </c>
      <c r="AB10" s="22" t="str">
        <f aca="false">IF(ISNUMBER(SEARCH(";"&amp;$A10&amp;";",";"&amp;SUBSTITUTE(INDEX(Services!$I$2:$I$27,MATCH(AB$1,Services!$A$2:$A$27,0))," ","")&amp;";")),"●","")</f>
        <v/>
      </c>
      <c r="AC10" s="23" t="n">
        <f aca="false">COUNTIF(C10:AB10,"●")</f>
        <v>4</v>
      </c>
    </row>
    <row r="11" customFormat="false" ht="15" hidden="false" customHeight="false" outlineLevel="0" collapsed="false">
      <c r="A11" s="21" t="s">
        <v>204</v>
      </c>
      <c r="B11" s="21" t="s">
        <v>674</v>
      </c>
      <c r="C11" s="22" t="str">
        <f aca="false">IF(ISNUMBER(SEARCH(";"&amp;$A11&amp;";",";"&amp;SUBSTITUTE(INDEX(Services!$I$2:$I$27,MATCH(C$1,Services!$A$2:$A$27,0))," ","")&amp;";")),"●","")</f>
        <v/>
      </c>
      <c r="D11" s="22" t="str">
        <f aca="false">IF(ISNUMBER(SEARCH(";"&amp;$A11&amp;";",";"&amp;SUBSTITUTE(INDEX(Services!$I$2:$I$27,MATCH(D$1,Services!$A$2:$A$27,0))," ","")&amp;";")),"●","")</f>
        <v/>
      </c>
      <c r="E11" s="22" t="str">
        <f aca="false">IF(ISNUMBER(SEARCH(";"&amp;$A11&amp;";",";"&amp;SUBSTITUTE(INDEX(Services!$I$2:$I$27,MATCH(E$1,Services!$A$2:$A$27,0))," ","")&amp;";")),"●","")</f>
        <v>●</v>
      </c>
      <c r="F11" s="22" t="str">
        <f aca="false">IF(ISNUMBER(SEARCH(";"&amp;$A11&amp;";",";"&amp;SUBSTITUTE(INDEX(Services!$I$2:$I$27,MATCH(F$1,Services!$A$2:$A$27,0))," ","")&amp;";")),"●","")</f>
        <v/>
      </c>
      <c r="G11" s="22" t="str">
        <f aca="false">IF(ISNUMBER(SEARCH(";"&amp;$A11&amp;";",";"&amp;SUBSTITUTE(INDEX(Services!$I$2:$I$27,MATCH(G$1,Services!$A$2:$A$27,0))," ","")&amp;";")),"●","")</f>
        <v/>
      </c>
      <c r="H11" s="22" t="str">
        <f aca="false">IF(ISNUMBER(SEARCH(";"&amp;$A11&amp;";",";"&amp;SUBSTITUTE(INDEX(Services!$I$2:$I$27,MATCH(H$1,Services!$A$2:$A$27,0))," ","")&amp;";")),"●","")</f>
        <v/>
      </c>
      <c r="I11" s="22" t="str">
        <f aca="false">IF(ISNUMBER(SEARCH(";"&amp;$A11&amp;";",";"&amp;SUBSTITUTE(INDEX(Services!$I$2:$I$27,MATCH(I$1,Services!$A$2:$A$27,0))," ","")&amp;";")),"●","")</f>
        <v/>
      </c>
      <c r="J11" s="22" t="str">
        <f aca="false">IF(ISNUMBER(SEARCH(";"&amp;$A11&amp;";",";"&amp;SUBSTITUTE(INDEX(Services!$I$2:$I$27,MATCH(J$1,Services!$A$2:$A$27,0))," ","")&amp;";")),"●","")</f>
        <v/>
      </c>
      <c r="K11" s="22" t="str">
        <f aca="false">IF(ISNUMBER(SEARCH(";"&amp;$A11&amp;";",";"&amp;SUBSTITUTE(INDEX(Services!$I$2:$I$27,MATCH(K$1,Services!$A$2:$A$27,0))," ","")&amp;";")),"●","")</f>
        <v>●</v>
      </c>
      <c r="L11" s="22" t="str">
        <f aca="false">IF(ISNUMBER(SEARCH(";"&amp;$A11&amp;";",";"&amp;SUBSTITUTE(INDEX(Services!$I$2:$I$27,MATCH(L$1,Services!$A$2:$A$27,0))," ","")&amp;";")),"●","")</f>
        <v/>
      </c>
      <c r="M11" s="22" t="str">
        <f aca="false">IF(ISNUMBER(SEARCH(";"&amp;$A11&amp;";",";"&amp;SUBSTITUTE(INDEX(Services!$I$2:$I$27,MATCH(M$1,Services!$A$2:$A$27,0))," ","")&amp;";")),"●","")</f>
        <v/>
      </c>
      <c r="N11" s="22" t="str">
        <f aca="false">IF(ISNUMBER(SEARCH(";"&amp;$A11&amp;";",";"&amp;SUBSTITUTE(INDEX(Services!$I$2:$I$27,MATCH(N$1,Services!$A$2:$A$27,0))," ","")&amp;";")),"●","")</f>
        <v/>
      </c>
      <c r="O11" s="22" t="str">
        <f aca="false">IF(ISNUMBER(SEARCH(";"&amp;$A11&amp;";",";"&amp;SUBSTITUTE(INDEX(Services!$I$2:$I$27,MATCH(O$1,Services!$A$2:$A$27,0))," ","")&amp;";")),"●","")</f>
        <v/>
      </c>
      <c r="P11" s="22" t="str">
        <f aca="false">IF(ISNUMBER(SEARCH(";"&amp;$A11&amp;";",";"&amp;SUBSTITUTE(INDEX(Services!$I$2:$I$27,MATCH(P$1,Services!$A$2:$A$27,0))," ","")&amp;";")),"●","")</f>
        <v/>
      </c>
      <c r="Q11" s="22" t="str">
        <f aca="false">IF(ISNUMBER(SEARCH(";"&amp;$A11&amp;";",";"&amp;SUBSTITUTE(INDEX(Services!$I$2:$I$27,MATCH(Q$1,Services!$A$2:$A$27,0))," ","")&amp;";")),"●","")</f>
        <v/>
      </c>
      <c r="R11" s="22" t="str">
        <f aca="false">IF(ISNUMBER(SEARCH(";"&amp;$A11&amp;";",";"&amp;SUBSTITUTE(INDEX(Services!$I$2:$I$27,MATCH(R$1,Services!$A$2:$A$27,0))," ","")&amp;";")),"●","")</f>
        <v>●</v>
      </c>
      <c r="S11" s="22" t="str">
        <f aca="false">IF(ISNUMBER(SEARCH(";"&amp;$A11&amp;";",";"&amp;SUBSTITUTE(INDEX(Services!$I$2:$I$27,MATCH(S$1,Services!$A$2:$A$27,0))," ","")&amp;";")),"●","")</f>
        <v/>
      </c>
      <c r="T11" s="22" t="str">
        <f aca="false">IF(ISNUMBER(SEARCH(";"&amp;$A11&amp;";",";"&amp;SUBSTITUTE(INDEX(Services!$I$2:$I$27,MATCH(T$1,Services!$A$2:$A$27,0))," ","")&amp;";")),"●","")</f>
        <v/>
      </c>
      <c r="U11" s="22" t="str">
        <f aca="false">IF(ISNUMBER(SEARCH(";"&amp;$A11&amp;";",";"&amp;SUBSTITUTE(INDEX(Services!$I$2:$I$27,MATCH(U$1,Services!$A$2:$A$27,0))," ","")&amp;";")),"●","")</f>
        <v/>
      </c>
      <c r="V11" s="22" t="str">
        <f aca="false">IF(ISNUMBER(SEARCH(";"&amp;$A11&amp;";",";"&amp;SUBSTITUTE(INDEX(Services!$I$2:$I$27,MATCH(V$1,Services!$A$2:$A$27,0))," ","")&amp;";")),"●","")</f>
        <v/>
      </c>
      <c r="W11" s="22" t="str">
        <f aca="false">IF(ISNUMBER(SEARCH(";"&amp;$A11&amp;";",";"&amp;SUBSTITUTE(INDEX(Services!$I$2:$I$27,MATCH(W$1,Services!$A$2:$A$27,0))," ","")&amp;";")),"●","")</f>
        <v/>
      </c>
      <c r="X11" s="22" t="str">
        <f aca="false">IF(ISNUMBER(SEARCH(";"&amp;$A11&amp;";",";"&amp;SUBSTITUTE(INDEX(Services!$I$2:$I$27,MATCH(X$1,Services!$A$2:$A$27,0))," ","")&amp;";")),"●","")</f>
        <v/>
      </c>
      <c r="Y11" s="22" t="str">
        <f aca="false">IF(ISNUMBER(SEARCH(";"&amp;$A11&amp;";",";"&amp;SUBSTITUTE(INDEX(Services!$I$2:$I$27,MATCH(Y$1,Services!$A$2:$A$27,0))," ","")&amp;";")),"●","")</f>
        <v/>
      </c>
      <c r="Z11" s="22" t="str">
        <f aca="false">IF(ISNUMBER(SEARCH(";"&amp;$A11&amp;";",";"&amp;SUBSTITUTE(INDEX(Services!$I$2:$I$27,MATCH(Z$1,Services!$A$2:$A$27,0))," ","")&amp;";")),"●","")</f>
        <v/>
      </c>
      <c r="AA11" s="22" t="str">
        <f aca="false">IF(ISNUMBER(SEARCH(";"&amp;$A11&amp;";",";"&amp;SUBSTITUTE(INDEX(Services!$I$2:$I$27,MATCH(AA$1,Services!$A$2:$A$27,0))," ","")&amp;";")),"●","")</f>
        <v/>
      </c>
      <c r="AB11" s="22" t="str">
        <f aca="false">IF(ISNUMBER(SEARCH(";"&amp;$A11&amp;";",";"&amp;SUBSTITUTE(INDEX(Services!$I$2:$I$27,MATCH(AB$1,Services!$A$2:$A$27,0))," ","")&amp;";")),"●","")</f>
        <v/>
      </c>
      <c r="AC11" s="23" t="n">
        <f aca="false">COUNTIF(C11:AB11,"●")</f>
        <v>3</v>
      </c>
    </row>
    <row r="12" customFormat="false" ht="15" hidden="false" customHeight="false" outlineLevel="0" collapsed="false">
      <c r="A12" s="21" t="s">
        <v>215</v>
      </c>
      <c r="B12" s="21" t="s">
        <v>675</v>
      </c>
      <c r="C12" s="22" t="str">
        <f aca="false">IF(ISNUMBER(SEARCH(";"&amp;$A12&amp;";",";"&amp;SUBSTITUTE(INDEX(Services!$I$2:$I$27,MATCH(C$1,Services!$A$2:$A$27,0))," ","")&amp;";")),"●","")</f>
        <v/>
      </c>
      <c r="D12" s="22" t="str">
        <f aca="false">IF(ISNUMBER(SEARCH(";"&amp;$A12&amp;";",";"&amp;SUBSTITUTE(INDEX(Services!$I$2:$I$27,MATCH(D$1,Services!$A$2:$A$27,0))," ","")&amp;";")),"●","")</f>
        <v/>
      </c>
      <c r="E12" s="22" t="str">
        <f aca="false">IF(ISNUMBER(SEARCH(";"&amp;$A12&amp;";",";"&amp;SUBSTITUTE(INDEX(Services!$I$2:$I$27,MATCH(E$1,Services!$A$2:$A$27,0))," ","")&amp;";")),"●","")</f>
        <v/>
      </c>
      <c r="F12" s="22" t="str">
        <f aca="false">IF(ISNUMBER(SEARCH(";"&amp;$A12&amp;";",";"&amp;SUBSTITUTE(INDEX(Services!$I$2:$I$27,MATCH(F$1,Services!$A$2:$A$27,0))," ","")&amp;";")),"●","")</f>
        <v/>
      </c>
      <c r="G12" s="22" t="str">
        <f aca="false">IF(ISNUMBER(SEARCH(";"&amp;$A12&amp;";",";"&amp;SUBSTITUTE(INDEX(Services!$I$2:$I$27,MATCH(G$1,Services!$A$2:$A$27,0))," ","")&amp;";")),"●","")</f>
        <v/>
      </c>
      <c r="H12" s="22" t="str">
        <f aca="false">IF(ISNUMBER(SEARCH(";"&amp;$A12&amp;";",";"&amp;SUBSTITUTE(INDEX(Services!$I$2:$I$27,MATCH(H$1,Services!$A$2:$A$27,0))," ","")&amp;";")),"●","")</f>
        <v/>
      </c>
      <c r="I12" s="22" t="str">
        <f aca="false">IF(ISNUMBER(SEARCH(";"&amp;$A12&amp;";",";"&amp;SUBSTITUTE(INDEX(Services!$I$2:$I$27,MATCH(I$1,Services!$A$2:$A$27,0))," ","")&amp;";")),"●","")</f>
        <v/>
      </c>
      <c r="J12" s="22" t="str">
        <f aca="false">IF(ISNUMBER(SEARCH(";"&amp;$A12&amp;";",";"&amp;SUBSTITUTE(INDEX(Services!$I$2:$I$27,MATCH(J$1,Services!$A$2:$A$27,0))," ","")&amp;";")),"●","")</f>
        <v/>
      </c>
      <c r="K12" s="22" t="str">
        <f aca="false">IF(ISNUMBER(SEARCH(";"&amp;$A12&amp;";",";"&amp;SUBSTITUTE(INDEX(Services!$I$2:$I$27,MATCH(K$1,Services!$A$2:$A$27,0))," ","")&amp;";")),"●","")</f>
        <v/>
      </c>
      <c r="L12" s="22" t="str">
        <f aca="false">IF(ISNUMBER(SEARCH(";"&amp;$A12&amp;";",";"&amp;SUBSTITUTE(INDEX(Services!$I$2:$I$27,MATCH(L$1,Services!$A$2:$A$27,0))," ","")&amp;";")),"●","")</f>
        <v/>
      </c>
      <c r="M12" s="22" t="str">
        <f aca="false">IF(ISNUMBER(SEARCH(";"&amp;$A12&amp;";",";"&amp;SUBSTITUTE(INDEX(Services!$I$2:$I$27,MATCH(M$1,Services!$A$2:$A$27,0))," ","")&amp;";")),"●","")</f>
        <v/>
      </c>
      <c r="N12" s="22" t="str">
        <f aca="false">IF(ISNUMBER(SEARCH(";"&amp;$A12&amp;";",";"&amp;SUBSTITUTE(INDEX(Services!$I$2:$I$27,MATCH(N$1,Services!$A$2:$A$27,0))," ","")&amp;";")),"●","")</f>
        <v/>
      </c>
      <c r="O12" s="22" t="str">
        <f aca="false">IF(ISNUMBER(SEARCH(";"&amp;$A12&amp;";",";"&amp;SUBSTITUTE(INDEX(Services!$I$2:$I$27,MATCH(O$1,Services!$A$2:$A$27,0))," ","")&amp;";")),"●","")</f>
        <v/>
      </c>
      <c r="P12" s="22" t="str">
        <f aca="false">IF(ISNUMBER(SEARCH(";"&amp;$A12&amp;";",";"&amp;SUBSTITUTE(INDEX(Services!$I$2:$I$27,MATCH(P$1,Services!$A$2:$A$27,0))," ","")&amp;";")),"●","")</f>
        <v/>
      </c>
      <c r="Q12" s="22" t="str">
        <f aca="false">IF(ISNUMBER(SEARCH(";"&amp;$A12&amp;";",";"&amp;SUBSTITUTE(INDEX(Services!$I$2:$I$27,MATCH(Q$1,Services!$A$2:$A$27,0))," ","")&amp;";")),"●","")</f>
        <v/>
      </c>
      <c r="R12" s="22" t="str">
        <f aca="false">IF(ISNUMBER(SEARCH(";"&amp;$A12&amp;";",";"&amp;SUBSTITUTE(INDEX(Services!$I$2:$I$27,MATCH(R$1,Services!$A$2:$A$27,0))," ","")&amp;";")),"●","")</f>
        <v/>
      </c>
      <c r="S12" s="22" t="str">
        <f aca="false">IF(ISNUMBER(SEARCH(";"&amp;$A12&amp;";",";"&amp;SUBSTITUTE(INDEX(Services!$I$2:$I$27,MATCH(S$1,Services!$A$2:$A$27,0))," ","")&amp;";")),"●","")</f>
        <v/>
      </c>
      <c r="T12" s="22" t="str">
        <f aca="false">IF(ISNUMBER(SEARCH(";"&amp;$A12&amp;";",";"&amp;SUBSTITUTE(INDEX(Services!$I$2:$I$27,MATCH(T$1,Services!$A$2:$A$27,0))," ","")&amp;";")),"●","")</f>
        <v/>
      </c>
      <c r="U12" s="22" t="str">
        <f aca="false">IF(ISNUMBER(SEARCH(";"&amp;$A12&amp;";",";"&amp;SUBSTITUTE(INDEX(Services!$I$2:$I$27,MATCH(U$1,Services!$A$2:$A$27,0))," ","")&amp;";")),"●","")</f>
        <v/>
      </c>
      <c r="V12" s="22" t="str">
        <f aca="false">IF(ISNUMBER(SEARCH(";"&amp;$A12&amp;";",";"&amp;SUBSTITUTE(INDEX(Services!$I$2:$I$27,MATCH(V$1,Services!$A$2:$A$27,0))," ","")&amp;";")),"●","")</f>
        <v>●</v>
      </c>
      <c r="W12" s="22" t="str">
        <f aca="false">IF(ISNUMBER(SEARCH(";"&amp;$A12&amp;";",";"&amp;SUBSTITUTE(INDEX(Services!$I$2:$I$27,MATCH(W$1,Services!$A$2:$A$27,0))," ","")&amp;";")),"●","")</f>
        <v/>
      </c>
      <c r="X12" s="22" t="str">
        <f aca="false">IF(ISNUMBER(SEARCH(";"&amp;$A12&amp;";",";"&amp;SUBSTITUTE(INDEX(Services!$I$2:$I$27,MATCH(X$1,Services!$A$2:$A$27,0))," ","")&amp;";")),"●","")</f>
        <v/>
      </c>
      <c r="Y12" s="22" t="str">
        <f aca="false">IF(ISNUMBER(SEARCH(";"&amp;$A12&amp;";",";"&amp;SUBSTITUTE(INDEX(Services!$I$2:$I$27,MATCH(Y$1,Services!$A$2:$A$27,0))," ","")&amp;";")),"●","")</f>
        <v/>
      </c>
      <c r="Z12" s="22" t="str">
        <f aca="false">IF(ISNUMBER(SEARCH(";"&amp;$A12&amp;";",";"&amp;SUBSTITUTE(INDEX(Services!$I$2:$I$27,MATCH(Z$1,Services!$A$2:$A$27,0))," ","")&amp;";")),"●","")</f>
        <v/>
      </c>
      <c r="AA12" s="22" t="str">
        <f aca="false">IF(ISNUMBER(SEARCH(";"&amp;$A12&amp;";",";"&amp;SUBSTITUTE(INDEX(Services!$I$2:$I$27,MATCH(AA$1,Services!$A$2:$A$27,0))," ","")&amp;";")),"●","")</f>
        <v/>
      </c>
      <c r="AB12" s="22" t="str">
        <f aca="false">IF(ISNUMBER(SEARCH(";"&amp;$A12&amp;";",";"&amp;SUBSTITUTE(INDEX(Services!$I$2:$I$27,MATCH(AB$1,Services!$A$2:$A$27,0))," ","")&amp;";")),"●","")</f>
        <v/>
      </c>
      <c r="AC12" s="23" t="n">
        <f aca="false">COUNTIF(C12:AB12,"●")</f>
        <v>1</v>
      </c>
    </row>
    <row r="13" customFormat="false" ht="15" hidden="false" customHeight="false" outlineLevel="0" collapsed="false">
      <c r="A13" s="21" t="s">
        <v>227</v>
      </c>
      <c r="B13" s="21" t="s">
        <v>676</v>
      </c>
      <c r="C13" s="22" t="str">
        <f aca="false">IF(ISNUMBER(SEARCH(";"&amp;$A13&amp;";",";"&amp;SUBSTITUTE(INDEX(Services!$I$2:$I$27,MATCH(C$1,Services!$A$2:$A$27,0))," ","")&amp;";")),"●","")</f>
        <v/>
      </c>
      <c r="D13" s="22" t="str">
        <f aca="false">IF(ISNUMBER(SEARCH(";"&amp;$A13&amp;";",";"&amp;SUBSTITUTE(INDEX(Services!$I$2:$I$27,MATCH(D$1,Services!$A$2:$A$27,0))," ","")&amp;";")),"●","")</f>
        <v>●</v>
      </c>
      <c r="E13" s="22" t="str">
        <f aca="false">IF(ISNUMBER(SEARCH(";"&amp;$A13&amp;";",";"&amp;SUBSTITUTE(INDEX(Services!$I$2:$I$27,MATCH(E$1,Services!$A$2:$A$27,0))," ","")&amp;";")),"●","")</f>
        <v/>
      </c>
      <c r="F13" s="22" t="str">
        <f aca="false">IF(ISNUMBER(SEARCH(";"&amp;$A13&amp;";",";"&amp;SUBSTITUTE(INDEX(Services!$I$2:$I$27,MATCH(F$1,Services!$A$2:$A$27,0))," ","")&amp;";")),"●","")</f>
        <v/>
      </c>
      <c r="G13" s="22" t="str">
        <f aca="false">IF(ISNUMBER(SEARCH(";"&amp;$A13&amp;";",";"&amp;SUBSTITUTE(INDEX(Services!$I$2:$I$27,MATCH(G$1,Services!$A$2:$A$27,0))," ","")&amp;";")),"●","")</f>
        <v/>
      </c>
      <c r="H13" s="22" t="str">
        <f aca="false">IF(ISNUMBER(SEARCH(";"&amp;$A13&amp;";",";"&amp;SUBSTITUTE(INDEX(Services!$I$2:$I$27,MATCH(H$1,Services!$A$2:$A$27,0))," ","")&amp;";")),"●","")</f>
        <v/>
      </c>
      <c r="I13" s="22" t="str">
        <f aca="false">IF(ISNUMBER(SEARCH(";"&amp;$A13&amp;";",";"&amp;SUBSTITUTE(INDEX(Services!$I$2:$I$27,MATCH(I$1,Services!$A$2:$A$27,0))," ","")&amp;";")),"●","")</f>
        <v/>
      </c>
      <c r="J13" s="22" t="str">
        <f aca="false">IF(ISNUMBER(SEARCH(";"&amp;$A13&amp;";",";"&amp;SUBSTITUTE(INDEX(Services!$I$2:$I$27,MATCH(J$1,Services!$A$2:$A$27,0))," ","")&amp;";")),"●","")</f>
        <v/>
      </c>
      <c r="K13" s="22" t="str">
        <f aca="false">IF(ISNUMBER(SEARCH(";"&amp;$A13&amp;";",";"&amp;SUBSTITUTE(INDEX(Services!$I$2:$I$27,MATCH(K$1,Services!$A$2:$A$27,0))," ","")&amp;";")),"●","")</f>
        <v/>
      </c>
      <c r="L13" s="22" t="str">
        <f aca="false">IF(ISNUMBER(SEARCH(";"&amp;$A13&amp;";",";"&amp;SUBSTITUTE(INDEX(Services!$I$2:$I$27,MATCH(L$1,Services!$A$2:$A$27,0))," ","")&amp;";")),"●","")</f>
        <v/>
      </c>
      <c r="M13" s="22" t="str">
        <f aca="false">IF(ISNUMBER(SEARCH(";"&amp;$A13&amp;";",";"&amp;SUBSTITUTE(INDEX(Services!$I$2:$I$27,MATCH(M$1,Services!$A$2:$A$27,0))," ","")&amp;";")),"●","")</f>
        <v/>
      </c>
      <c r="N13" s="22" t="str">
        <f aca="false">IF(ISNUMBER(SEARCH(";"&amp;$A13&amp;";",";"&amp;SUBSTITUTE(INDEX(Services!$I$2:$I$27,MATCH(N$1,Services!$A$2:$A$27,0))," ","")&amp;";")),"●","")</f>
        <v/>
      </c>
      <c r="O13" s="22" t="str">
        <f aca="false">IF(ISNUMBER(SEARCH(";"&amp;$A13&amp;";",";"&amp;SUBSTITUTE(INDEX(Services!$I$2:$I$27,MATCH(O$1,Services!$A$2:$A$27,0))," ","")&amp;";")),"●","")</f>
        <v/>
      </c>
      <c r="P13" s="22" t="str">
        <f aca="false">IF(ISNUMBER(SEARCH(";"&amp;$A13&amp;";",";"&amp;SUBSTITUTE(INDEX(Services!$I$2:$I$27,MATCH(P$1,Services!$A$2:$A$27,0))," ","")&amp;";")),"●","")</f>
        <v/>
      </c>
      <c r="Q13" s="22" t="str">
        <f aca="false">IF(ISNUMBER(SEARCH(";"&amp;$A13&amp;";",";"&amp;SUBSTITUTE(INDEX(Services!$I$2:$I$27,MATCH(Q$1,Services!$A$2:$A$27,0))," ","")&amp;";")),"●","")</f>
        <v/>
      </c>
      <c r="R13" s="22" t="str">
        <f aca="false">IF(ISNUMBER(SEARCH(";"&amp;$A13&amp;";",";"&amp;SUBSTITUTE(INDEX(Services!$I$2:$I$27,MATCH(R$1,Services!$A$2:$A$27,0))," ","")&amp;";")),"●","")</f>
        <v/>
      </c>
      <c r="S13" s="22" t="str">
        <f aca="false">IF(ISNUMBER(SEARCH(";"&amp;$A13&amp;";",";"&amp;SUBSTITUTE(INDEX(Services!$I$2:$I$27,MATCH(S$1,Services!$A$2:$A$27,0))," ","")&amp;";")),"●","")</f>
        <v>●</v>
      </c>
      <c r="T13" s="22" t="str">
        <f aca="false">IF(ISNUMBER(SEARCH(";"&amp;$A13&amp;";",";"&amp;SUBSTITUTE(INDEX(Services!$I$2:$I$27,MATCH(T$1,Services!$A$2:$A$27,0))," ","")&amp;";")),"●","")</f>
        <v/>
      </c>
      <c r="U13" s="22" t="str">
        <f aca="false">IF(ISNUMBER(SEARCH(";"&amp;$A13&amp;";",";"&amp;SUBSTITUTE(INDEX(Services!$I$2:$I$27,MATCH(U$1,Services!$A$2:$A$27,0))," ","")&amp;";")),"●","")</f>
        <v/>
      </c>
      <c r="V13" s="22" t="str">
        <f aca="false">IF(ISNUMBER(SEARCH(";"&amp;$A13&amp;";",";"&amp;SUBSTITUTE(INDEX(Services!$I$2:$I$27,MATCH(V$1,Services!$A$2:$A$27,0))," ","")&amp;";")),"●","")</f>
        <v/>
      </c>
      <c r="W13" s="22" t="str">
        <f aca="false">IF(ISNUMBER(SEARCH(";"&amp;$A13&amp;";",";"&amp;SUBSTITUTE(INDEX(Services!$I$2:$I$27,MATCH(W$1,Services!$A$2:$A$27,0))," ","")&amp;";")),"●","")</f>
        <v/>
      </c>
      <c r="X13" s="22" t="str">
        <f aca="false">IF(ISNUMBER(SEARCH(";"&amp;$A13&amp;";",";"&amp;SUBSTITUTE(INDEX(Services!$I$2:$I$27,MATCH(X$1,Services!$A$2:$A$27,0))," ","")&amp;";")),"●","")</f>
        <v/>
      </c>
      <c r="Y13" s="22" t="str">
        <f aca="false">IF(ISNUMBER(SEARCH(";"&amp;$A13&amp;";",";"&amp;SUBSTITUTE(INDEX(Services!$I$2:$I$27,MATCH(Y$1,Services!$A$2:$A$27,0))," ","")&amp;";")),"●","")</f>
        <v/>
      </c>
      <c r="Z13" s="22" t="str">
        <f aca="false">IF(ISNUMBER(SEARCH(";"&amp;$A13&amp;";",";"&amp;SUBSTITUTE(INDEX(Services!$I$2:$I$27,MATCH(Z$1,Services!$A$2:$A$27,0))," ","")&amp;";")),"●","")</f>
        <v/>
      </c>
      <c r="AA13" s="22" t="str">
        <f aca="false">IF(ISNUMBER(SEARCH(";"&amp;$A13&amp;";",";"&amp;SUBSTITUTE(INDEX(Services!$I$2:$I$27,MATCH(AA$1,Services!$A$2:$A$27,0))," ","")&amp;";")),"●","")</f>
        <v/>
      </c>
      <c r="AB13" s="22" t="str">
        <f aca="false">IF(ISNUMBER(SEARCH(";"&amp;$A13&amp;";",";"&amp;SUBSTITUTE(INDEX(Services!$I$2:$I$27,MATCH(AB$1,Services!$A$2:$A$27,0))," ","")&amp;";")),"●","")</f>
        <v/>
      </c>
      <c r="AC13" s="23" t="n">
        <f aca="false">COUNTIF(C13:AB13,"●")</f>
        <v>2</v>
      </c>
    </row>
    <row r="14" customFormat="false" ht="15" hidden="false" customHeight="false" outlineLevel="0" collapsed="false">
      <c r="A14" s="21" t="s">
        <v>238</v>
      </c>
      <c r="B14" s="21" t="s">
        <v>677</v>
      </c>
      <c r="C14" s="22" t="str">
        <f aca="false">IF(ISNUMBER(SEARCH(";"&amp;$A14&amp;";",";"&amp;SUBSTITUTE(INDEX(Services!$I$2:$I$27,MATCH(C$1,Services!$A$2:$A$27,0))," ","")&amp;";")),"●","")</f>
        <v/>
      </c>
      <c r="D14" s="22" t="str">
        <f aca="false">IF(ISNUMBER(SEARCH(";"&amp;$A14&amp;";",";"&amp;SUBSTITUTE(INDEX(Services!$I$2:$I$27,MATCH(D$1,Services!$A$2:$A$27,0))," ","")&amp;";")),"●","")</f>
        <v/>
      </c>
      <c r="E14" s="22" t="str">
        <f aca="false">IF(ISNUMBER(SEARCH(";"&amp;$A14&amp;";",";"&amp;SUBSTITUTE(INDEX(Services!$I$2:$I$27,MATCH(E$1,Services!$A$2:$A$27,0))," ","")&amp;";")),"●","")</f>
        <v/>
      </c>
      <c r="F14" s="22" t="str">
        <f aca="false">IF(ISNUMBER(SEARCH(";"&amp;$A14&amp;";",";"&amp;SUBSTITUTE(INDEX(Services!$I$2:$I$27,MATCH(F$1,Services!$A$2:$A$27,0))," ","")&amp;";")),"●","")</f>
        <v>●</v>
      </c>
      <c r="G14" s="22" t="str">
        <f aca="false">IF(ISNUMBER(SEARCH(";"&amp;$A14&amp;";",";"&amp;SUBSTITUTE(INDEX(Services!$I$2:$I$27,MATCH(G$1,Services!$A$2:$A$27,0))," ","")&amp;";")),"●","")</f>
        <v/>
      </c>
      <c r="H14" s="22" t="str">
        <f aca="false">IF(ISNUMBER(SEARCH(";"&amp;$A14&amp;";",";"&amp;SUBSTITUTE(INDEX(Services!$I$2:$I$27,MATCH(H$1,Services!$A$2:$A$27,0))," ","")&amp;";")),"●","")</f>
        <v/>
      </c>
      <c r="I14" s="22" t="str">
        <f aca="false">IF(ISNUMBER(SEARCH(";"&amp;$A14&amp;";",";"&amp;SUBSTITUTE(INDEX(Services!$I$2:$I$27,MATCH(I$1,Services!$A$2:$A$27,0))," ","")&amp;";")),"●","")</f>
        <v/>
      </c>
      <c r="J14" s="22" t="str">
        <f aca="false">IF(ISNUMBER(SEARCH(";"&amp;$A14&amp;";",";"&amp;SUBSTITUTE(INDEX(Services!$I$2:$I$27,MATCH(J$1,Services!$A$2:$A$27,0))," ","")&amp;";")),"●","")</f>
        <v/>
      </c>
      <c r="K14" s="22" t="str">
        <f aca="false">IF(ISNUMBER(SEARCH(";"&amp;$A14&amp;";",";"&amp;SUBSTITUTE(INDEX(Services!$I$2:$I$27,MATCH(K$1,Services!$A$2:$A$27,0))," ","")&amp;";")),"●","")</f>
        <v/>
      </c>
      <c r="L14" s="22" t="str">
        <f aca="false">IF(ISNUMBER(SEARCH(";"&amp;$A14&amp;";",";"&amp;SUBSTITUTE(INDEX(Services!$I$2:$I$27,MATCH(L$1,Services!$A$2:$A$27,0))," ","")&amp;";")),"●","")</f>
        <v/>
      </c>
      <c r="M14" s="22" t="str">
        <f aca="false">IF(ISNUMBER(SEARCH(";"&amp;$A14&amp;";",";"&amp;SUBSTITUTE(INDEX(Services!$I$2:$I$27,MATCH(M$1,Services!$A$2:$A$27,0))," ","")&amp;";")),"●","")</f>
        <v/>
      </c>
      <c r="N14" s="22" t="str">
        <f aca="false">IF(ISNUMBER(SEARCH(";"&amp;$A14&amp;";",";"&amp;SUBSTITUTE(INDEX(Services!$I$2:$I$27,MATCH(N$1,Services!$A$2:$A$27,0))," ","")&amp;";")),"●","")</f>
        <v/>
      </c>
      <c r="O14" s="22" t="str">
        <f aca="false">IF(ISNUMBER(SEARCH(";"&amp;$A14&amp;";",";"&amp;SUBSTITUTE(INDEX(Services!$I$2:$I$27,MATCH(O$1,Services!$A$2:$A$27,0))," ","")&amp;";")),"●","")</f>
        <v/>
      </c>
      <c r="P14" s="22" t="str">
        <f aca="false">IF(ISNUMBER(SEARCH(";"&amp;$A14&amp;";",";"&amp;SUBSTITUTE(INDEX(Services!$I$2:$I$27,MATCH(P$1,Services!$A$2:$A$27,0))," ","")&amp;";")),"●","")</f>
        <v/>
      </c>
      <c r="Q14" s="22" t="str">
        <f aca="false">IF(ISNUMBER(SEARCH(";"&amp;$A14&amp;";",";"&amp;SUBSTITUTE(INDEX(Services!$I$2:$I$27,MATCH(Q$1,Services!$A$2:$A$27,0))," ","")&amp;";")),"●","")</f>
        <v/>
      </c>
      <c r="R14" s="22" t="str">
        <f aca="false">IF(ISNUMBER(SEARCH(";"&amp;$A14&amp;";",";"&amp;SUBSTITUTE(INDEX(Services!$I$2:$I$27,MATCH(R$1,Services!$A$2:$A$27,0))," ","")&amp;";")),"●","")</f>
        <v/>
      </c>
      <c r="S14" s="22" t="str">
        <f aca="false">IF(ISNUMBER(SEARCH(";"&amp;$A14&amp;";",";"&amp;SUBSTITUTE(INDEX(Services!$I$2:$I$27,MATCH(S$1,Services!$A$2:$A$27,0))," ","")&amp;";")),"●","")</f>
        <v/>
      </c>
      <c r="T14" s="22" t="str">
        <f aca="false">IF(ISNUMBER(SEARCH(";"&amp;$A14&amp;";",";"&amp;SUBSTITUTE(INDEX(Services!$I$2:$I$27,MATCH(T$1,Services!$A$2:$A$27,0))," ","")&amp;";")),"●","")</f>
        <v/>
      </c>
      <c r="U14" s="22" t="str">
        <f aca="false">IF(ISNUMBER(SEARCH(";"&amp;$A14&amp;";",";"&amp;SUBSTITUTE(INDEX(Services!$I$2:$I$27,MATCH(U$1,Services!$A$2:$A$27,0))," ","")&amp;";")),"●","")</f>
        <v/>
      </c>
      <c r="V14" s="22" t="str">
        <f aca="false">IF(ISNUMBER(SEARCH(";"&amp;$A14&amp;";",";"&amp;SUBSTITUTE(INDEX(Services!$I$2:$I$27,MATCH(V$1,Services!$A$2:$A$27,0))," ","")&amp;";")),"●","")</f>
        <v/>
      </c>
      <c r="W14" s="22" t="str">
        <f aca="false">IF(ISNUMBER(SEARCH(";"&amp;$A14&amp;";",";"&amp;SUBSTITUTE(INDEX(Services!$I$2:$I$27,MATCH(W$1,Services!$A$2:$A$27,0))," ","")&amp;";")),"●","")</f>
        <v/>
      </c>
      <c r="X14" s="22" t="str">
        <f aca="false">IF(ISNUMBER(SEARCH(";"&amp;$A14&amp;";",";"&amp;SUBSTITUTE(INDEX(Services!$I$2:$I$27,MATCH(X$1,Services!$A$2:$A$27,0))," ","")&amp;";")),"●","")</f>
        <v/>
      </c>
      <c r="Y14" s="22" t="str">
        <f aca="false">IF(ISNUMBER(SEARCH(";"&amp;$A14&amp;";",";"&amp;SUBSTITUTE(INDEX(Services!$I$2:$I$27,MATCH(Y$1,Services!$A$2:$A$27,0))," ","")&amp;";")),"●","")</f>
        <v/>
      </c>
      <c r="Z14" s="22" t="str">
        <f aca="false">IF(ISNUMBER(SEARCH(";"&amp;$A14&amp;";",";"&amp;SUBSTITUTE(INDEX(Services!$I$2:$I$27,MATCH(Z$1,Services!$A$2:$A$27,0))," ","")&amp;";")),"●","")</f>
        <v/>
      </c>
      <c r="AA14" s="22" t="str">
        <f aca="false">IF(ISNUMBER(SEARCH(";"&amp;$A14&amp;";",";"&amp;SUBSTITUTE(INDEX(Services!$I$2:$I$27,MATCH(AA$1,Services!$A$2:$A$27,0))," ","")&amp;";")),"●","")</f>
        <v/>
      </c>
      <c r="AB14" s="22" t="str">
        <f aca="false">IF(ISNUMBER(SEARCH(";"&amp;$A14&amp;";",";"&amp;SUBSTITUTE(INDEX(Services!$I$2:$I$27,MATCH(AB$1,Services!$A$2:$A$27,0))," ","")&amp;";")),"●","")</f>
        <v/>
      </c>
      <c r="AC14" s="23" t="n">
        <f aca="false">COUNTIF(C14:AB14,"●")</f>
        <v>1</v>
      </c>
    </row>
    <row r="15" customFormat="false" ht="15" hidden="false" customHeight="false" outlineLevel="0" collapsed="false">
      <c r="A15" s="21" t="s">
        <v>247</v>
      </c>
      <c r="B15" s="21" t="s">
        <v>678</v>
      </c>
      <c r="C15" s="22" t="str">
        <f aca="false">IF(ISNUMBER(SEARCH(";"&amp;$A15&amp;";",";"&amp;SUBSTITUTE(INDEX(Services!$I$2:$I$27,MATCH(C$1,Services!$A$2:$A$27,0))," ","")&amp;";")),"●","")</f>
        <v/>
      </c>
      <c r="D15" s="22" t="str">
        <f aca="false">IF(ISNUMBER(SEARCH(";"&amp;$A15&amp;";",";"&amp;SUBSTITUTE(INDEX(Services!$I$2:$I$27,MATCH(D$1,Services!$A$2:$A$27,0))," ","")&amp;";")),"●","")</f>
        <v/>
      </c>
      <c r="E15" s="22" t="str">
        <f aca="false">IF(ISNUMBER(SEARCH(";"&amp;$A15&amp;";",";"&amp;SUBSTITUTE(INDEX(Services!$I$2:$I$27,MATCH(E$1,Services!$A$2:$A$27,0))," ","")&amp;";")),"●","")</f>
        <v/>
      </c>
      <c r="F15" s="22" t="str">
        <f aca="false">IF(ISNUMBER(SEARCH(";"&amp;$A15&amp;";",";"&amp;SUBSTITUTE(INDEX(Services!$I$2:$I$27,MATCH(F$1,Services!$A$2:$A$27,0))," ","")&amp;";")),"●","")</f>
        <v/>
      </c>
      <c r="G15" s="22" t="str">
        <f aca="false">IF(ISNUMBER(SEARCH(";"&amp;$A15&amp;";",";"&amp;SUBSTITUTE(INDEX(Services!$I$2:$I$27,MATCH(G$1,Services!$A$2:$A$27,0))," ","")&amp;";")),"●","")</f>
        <v/>
      </c>
      <c r="H15" s="22" t="str">
        <f aca="false">IF(ISNUMBER(SEARCH(";"&amp;$A15&amp;";",";"&amp;SUBSTITUTE(INDEX(Services!$I$2:$I$27,MATCH(H$1,Services!$A$2:$A$27,0))," ","")&amp;";")),"●","")</f>
        <v/>
      </c>
      <c r="I15" s="22" t="str">
        <f aca="false">IF(ISNUMBER(SEARCH(";"&amp;$A15&amp;";",";"&amp;SUBSTITUTE(INDEX(Services!$I$2:$I$27,MATCH(I$1,Services!$A$2:$A$27,0))," ","")&amp;";")),"●","")</f>
        <v/>
      </c>
      <c r="J15" s="22" t="str">
        <f aca="false">IF(ISNUMBER(SEARCH(";"&amp;$A15&amp;";",";"&amp;SUBSTITUTE(INDEX(Services!$I$2:$I$27,MATCH(J$1,Services!$A$2:$A$27,0))," ","")&amp;";")),"●","")</f>
        <v/>
      </c>
      <c r="K15" s="22" t="str">
        <f aca="false">IF(ISNUMBER(SEARCH(";"&amp;$A15&amp;";",";"&amp;SUBSTITUTE(INDEX(Services!$I$2:$I$27,MATCH(K$1,Services!$A$2:$A$27,0))," ","")&amp;";")),"●","")</f>
        <v/>
      </c>
      <c r="L15" s="22" t="str">
        <f aca="false">IF(ISNUMBER(SEARCH(";"&amp;$A15&amp;";",";"&amp;SUBSTITUTE(INDEX(Services!$I$2:$I$27,MATCH(L$1,Services!$A$2:$A$27,0))," ","")&amp;";")),"●","")</f>
        <v/>
      </c>
      <c r="M15" s="22" t="str">
        <f aca="false">IF(ISNUMBER(SEARCH(";"&amp;$A15&amp;";",";"&amp;SUBSTITUTE(INDEX(Services!$I$2:$I$27,MATCH(M$1,Services!$A$2:$A$27,0))," ","")&amp;";")),"●","")</f>
        <v/>
      </c>
      <c r="N15" s="22" t="str">
        <f aca="false">IF(ISNUMBER(SEARCH(";"&amp;$A15&amp;";",";"&amp;SUBSTITUTE(INDEX(Services!$I$2:$I$27,MATCH(N$1,Services!$A$2:$A$27,0))," ","")&amp;";")),"●","")</f>
        <v/>
      </c>
      <c r="O15" s="22" t="str">
        <f aca="false">IF(ISNUMBER(SEARCH(";"&amp;$A15&amp;";",";"&amp;SUBSTITUTE(INDEX(Services!$I$2:$I$27,MATCH(O$1,Services!$A$2:$A$27,0))," ","")&amp;";")),"●","")</f>
        <v/>
      </c>
      <c r="P15" s="22" t="str">
        <f aca="false">IF(ISNUMBER(SEARCH(";"&amp;$A15&amp;";",";"&amp;SUBSTITUTE(INDEX(Services!$I$2:$I$27,MATCH(P$1,Services!$A$2:$A$27,0))," ","")&amp;";")),"●","")</f>
        <v/>
      </c>
      <c r="Q15" s="22" t="str">
        <f aca="false">IF(ISNUMBER(SEARCH(";"&amp;$A15&amp;";",";"&amp;SUBSTITUTE(INDEX(Services!$I$2:$I$27,MATCH(Q$1,Services!$A$2:$A$27,0))," ","")&amp;";")),"●","")</f>
        <v/>
      </c>
      <c r="R15" s="22" t="str">
        <f aca="false">IF(ISNUMBER(SEARCH(";"&amp;$A15&amp;";",";"&amp;SUBSTITUTE(INDEX(Services!$I$2:$I$27,MATCH(R$1,Services!$A$2:$A$27,0))," ","")&amp;";")),"●","")</f>
        <v>●</v>
      </c>
      <c r="S15" s="22" t="str">
        <f aca="false">IF(ISNUMBER(SEARCH(";"&amp;$A15&amp;";",";"&amp;SUBSTITUTE(INDEX(Services!$I$2:$I$27,MATCH(S$1,Services!$A$2:$A$27,0))," ","")&amp;";")),"●","")</f>
        <v/>
      </c>
      <c r="T15" s="22" t="str">
        <f aca="false">IF(ISNUMBER(SEARCH(";"&amp;$A15&amp;";",";"&amp;SUBSTITUTE(INDEX(Services!$I$2:$I$27,MATCH(T$1,Services!$A$2:$A$27,0))," ","")&amp;";")),"●","")</f>
        <v/>
      </c>
      <c r="U15" s="22" t="str">
        <f aca="false">IF(ISNUMBER(SEARCH(";"&amp;$A15&amp;";",";"&amp;SUBSTITUTE(INDEX(Services!$I$2:$I$27,MATCH(U$1,Services!$A$2:$A$27,0))," ","")&amp;";")),"●","")</f>
        <v>●</v>
      </c>
      <c r="V15" s="22" t="str">
        <f aca="false">IF(ISNUMBER(SEARCH(";"&amp;$A15&amp;";",";"&amp;SUBSTITUTE(INDEX(Services!$I$2:$I$27,MATCH(V$1,Services!$A$2:$A$27,0))," ","")&amp;";")),"●","")</f>
        <v/>
      </c>
      <c r="W15" s="22" t="str">
        <f aca="false">IF(ISNUMBER(SEARCH(";"&amp;$A15&amp;";",";"&amp;SUBSTITUTE(INDEX(Services!$I$2:$I$27,MATCH(W$1,Services!$A$2:$A$27,0))," ","")&amp;";")),"●","")</f>
        <v/>
      </c>
      <c r="X15" s="22" t="str">
        <f aca="false">IF(ISNUMBER(SEARCH(";"&amp;$A15&amp;";",";"&amp;SUBSTITUTE(INDEX(Services!$I$2:$I$27,MATCH(X$1,Services!$A$2:$A$27,0))," ","")&amp;";")),"●","")</f>
        <v/>
      </c>
      <c r="Y15" s="22" t="str">
        <f aca="false">IF(ISNUMBER(SEARCH(";"&amp;$A15&amp;";",";"&amp;SUBSTITUTE(INDEX(Services!$I$2:$I$27,MATCH(Y$1,Services!$A$2:$A$27,0))," ","")&amp;";")),"●","")</f>
        <v/>
      </c>
      <c r="Z15" s="22" t="str">
        <f aca="false">IF(ISNUMBER(SEARCH(";"&amp;$A15&amp;";",";"&amp;SUBSTITUTE(INDEX(Services!$I$2:$I$27,MATCH(Z$1,Services!$A$2:$A$27,0))," ","")&amp;";")),"●","")</f>
        <v/>
      </c>
      <c r="AA15" s="22" t="str">
        <f aca="false">IF(ISNUMBER(SEARCH(";"&amp;$A15&amp;";",";"&amp;SUBSTITUTE(INDEX(Services!$I$2:$I$27,MATCH(AA$1,Services!$A$2:$A$27,0))," ","")&amp;";")),"●","")</f>
        <v/>
      </c>
      <c r="AB15" s="22" t="str">
        <f aca="false">IF(ISNUMBER(SEARCH(";"&amp;$A15&amp;";",";"&amp;SUBSTITUTE(INDEX(Services!$I$2:$I$27,MATCH(AB$1,Services!$A$2:$A$27,0))," ","")&amp;";")),"●","")</f>
        <v/>
      </c>
      <c r="AC15" s="23" t="n">
        <f aca="false">COUNTIF(C15:AB15,"●")</f>
        <v>2</v>
      </c>
    </row>
    <row r="16" customFormat="false" ht="15" hidden="false" customHeight="false" outlineLevel="0" collapsed="false">
      <c r="A16" s="21" t="s">
        <v>258</v>
      </c>
      <c r="B16" s="21" t="s">
        <v>679</v>
      </c>
      <c r="C16" s="22" t="str">
        <f aca="false">IF(ISNUMBER(SEARCH(";"&amp;$A16&amp;";",";"&amp;SUBSTITUTE(INDEX(Services!$I$2:$I$27,MATCH(C$1,Services!$A$2:$A$27,0))," ","")&amp;";")),"●","")</f>
        <v/>
      </c>
      <c r="D16" s="22" t="str">
        <f aca="false">IF(ISNUMBER(SEARCH(";"&amp;$A16&amp;";",";"&amp;SUBSTITUTE(INDEX(Services!$I$2:$I$27,MATCH(D$1,Services!$A$2:$A$27,0))," ","")&amp;";")),"●","")</f>
        <v/>
      </c>
      <c r="E16" s="22" t="str">
        <f aca="false">IF(ISNUMBER(SEARCH(";"&amp;$A16&amp;";",";"&amp;SUBSTITUTE(INDEX(Services!$I$2:$I$27,MATCH(E$1,Services!$A$2:$A$27,0))," ","")&amp;";")),"●","")</f>
        <v/>
      </c>
      <c r="F16" s="22" t="str">
        <f aca="false">IF(ISNUMBER(SEARCH(";"&amp;$A16&amp;";",";"&amp;SUBSTITUTE(INDEX(Services!$I$2:$I$27,MATCH(F$1,Services!$A$2:$A$27,0))," ","")&amp;";")),"●","")</f>
        <v/>
      </c>
      <c r="G16" s="22" t="str">
        <f aca="false">IF(ISNUMBER(SEARCH(";"&amp;$A16&amp;";",";"&amp;SUBSTITUTE(INDEX(Services!$I$2:$I$27,MATCH(G$1,Services!$A$2:$A$27,0))," ","")&amp;";")),"●","")</f>
        <v/>
      </c>
      <c r="H16" s="22" t="str">
        <f aca="false">IF(ISNUMBER(SEARCH(";"&amp;$A16&amp;";",";"&amp;SUBSTITUTE(INDEX(Services!$I$2:$I$27,MATCH(H$1,Services!$A$2:$A$27,0))," ","")&amp;";")),"●","")</f>
        <v/>
      </c>
      <c r="I16" s="22" t="str">
        <f aca="false">IF(ISNUMBER(SEARCH(";"&amp;$A16&amp;";",";"&amp;SUBSTITUTE(INDEX(Services!$I$2:$I$27,MATCH(I$1,Services!$A$2:$A$27,0))," ","")&amp;";")),"●","")</f>
        <v/>
      </c>
      <c r="J16" s="22" t="str">
        <f aca="false">IF(ISNUMBER(SEARCH(";"&amp;$A16&amp;";",";"&amp;SUBSTITUTE(INDEX(Services!$I$2:$I$27,MATCH(J$1,Services!$A$2:$A$27,0))," ","")&amp;";")),"●","")</f>
        <v/>
      </c>
      <c r="K16" s="22" t="str">
        <f aca="false">IF(ISNUMBER(SEARCH(";"&amp;$A16&amp;";",";"&amp;SUBSTITUTE(INDEX(Services!$I$2:$I$27,MATCH(K$1,Services!$A$2:$A$27,0))," ","")&amp;";")),"●","")</f>
        <v>●</v>
      </c>
      <c r="L16" s="22" t="str">
        <f aca="false">IF(ISNUMBER(SEARCH(";"&amp;$A16&amp;";",";"&amp;SUBSTITUTE(INDEX(Services!$I$2:$I$27,MATCH(L$1,Services!$A$2:$A$27,0))," ","")&amp;";")),"●","")</f>
        <v/>
      </c>
      <c r="M16" s="22" t="str">
        <f aca="false">IF(ISNUMBER(SEARCH(";"&amp;$A16&amp;";",";"&amp;SUBSTITUTE(INDEX(Services!$I$2:$I$27,MATCH(M$1,Services!$A$2:$A$27,0))," ","")&amp;";")),"●","")</f>
        <v/>
      </c>
      <c r="N16" s="22" t="str">
        <f aca="false">IF(ISNUMBER(SEARCH(";"&amp;$A16&amp;";",";"&amp;SUBSTITUTE(INDEX(Services!$I$2:$I$27,MATCH(N$1,Services!$A$2:$A$27,0))," ","")&amp;";")),"●","")</f>
        <v/>
      </c>
      <c r="O16" s="22" t="str">
        <f aca="false">IF(ISNUMBER(SEARCH(";"&amp;$A16&amp;";",";"&amp;SUBSTITUTE(INDEX(Services!$I$2:$I$27,MATCH(O$1,Services!$A$2:$A$27,0))," ","")&amp;";")),"●","")</f>
        <v/>
      </c>
      <c r="P16" s="22" t="str">
        <f aca="false">IF(ISNUMBER(SEARCH(";"&amp;$A16&amp;";",";"&amp;SUBSTITUTE(INDEX(Services!$I$2:$I$27,MATCH(P$1,Services!$A$2:$A$27,0))," ","")&amp;";")),"●","")</f>
        <v/>
      </c>
      <c r="Q16" s="22" t="str">
        <f aca="false">IF(ISNUMBER(SEARCH(";"&amp;$A16&amp;";",";"&amp;SUBSTITUTE(INDEX(Services!$I$2:$I$27,MATCH(Q$1,Services!$A$2:$A$27,0))," ","")&amp;";")),"●","")</f>
        <v/>
      </c>
      <c r="R16" s="22" t="str">
        <f aca="false">IF(ISNUMBER(SEARCH(";"&amp;$A16&amp;";",";"&amp;SUBSTITUTE(INDEX(Services!$I$2:$I$27,MATCH(R$1,Services!$A$2:$A$27,0))," ","")&amp;";")),"●","")</f>
        <v/>
      </c>
      <c r="S16" s="22" t="str">
        <f aca="false">IF(ISNUMBER(SEARCH(";"&amp;$A16&amp;";",";"&amp;SUBSTITUTE(INDEX(Services!$I$2:$I$27,MATCH(S$1,Services!$A$2:$A$27,0))," ","")&amp;";")),"●","")</f>
        <v/>
      </c>
      <c r="T16" s="22" t="str">
        <f aca="false">IF(ISNUMBER(SEARCH(";"&amp;$A16&amp;";",";"&amp;SUBSTITUTE(INDEX(Services!$I$2:$I$27,MATCH(T$1,Services!$A$2:$A$27,0))," ","")&amp;";")),"●","")</f>
        <v/>
      </c>
      <c r="U16" s="22" t="str">
        <f aca="false">IF(ISNUMBER(SEARCH(";"&amp;$A16&amp;";",";"&amp;SUBSTITUTE(INDEX(Services!$I$2:$I$27,MATCH(U$1,Services!$A$2:$A$27,0))," ","")&amp;";")),"●","")</f>
        <v/>
      </c>
      <c r="V16" s="22" t="str">
        <f aca="false">IF(ISNUMBER(SEARCH(";"&amp;$A16&amp;";",";"&amp;SUBSTITUTE(INDEX(Services!$I$2:$I$27,MATCH(V$1,Services!$A$2:$A$27,0))," ","")&amp;";")),"●","")</f>
        <v/>
      </c>
      <c r="W16" s="22" t="str">
        <f aca="false">IF(ISNUMBER(SEARCH(";"&amp;$A16&amp;";",";"&amp;SUBSTITUTE(INDEX(Services!$I$2:$I$27,MATCH(W$1,Services!$A$2:$A$27,0))," ","")&amp;";")),"●","")</f>
        <v>●</v>
      </c>
      <c r="X16" s="22" t="str">
        <f aca="false">IF(ISNUMBER(SEARCH(";"&amp;$A16&amp;";",";"&amp;SUBSTITUTE(INDEX(Services!$I$2:$I$27,MATCH(X$1,Services!$A$2:$A$27,0))," ","")&amp;";")),"●","")</f>
        <v/>
      </c>
      <c r="Y16" s="22" t="str">
        <f aca="false">IF(ISNUMBER(SEARCH(";"&amp;$A16&amp;";",";"&amp;SUBSTITUTE(INDEX(Services!$I$2:$I$27,MATCH(Y$1,Services!$A$2:$A$27,0))," ","")&amp;";")),"●","")</f>
        <v/>
      </c>
      <c r="Z16" s="22" t="str">
        <f aca="false">IF(ISNUMBER(SEARCH(";"&amp;$A16&amp;";",";"&amp;SUBSTITUTE(INDEX(Services!$I$2:$I$27,MATCH(Z$1,Services!$A$2:$A$27,0))," ","")&amp;";")),"●","")</f>
        <v/>
      </c>
      <c r="AA16" s="22" t="str">
        <f aca="false">IF(ISNUMBER(SEARCH(";"&amp;$A16&amp;";",";"&amp;SUBSTITUTE(INDEX(Services!$I$2:$I$27,MATCH(AA$1,Services!$A$2:$A$27,0))," ","")&amp;";")),"●","")</f>
        <v/>
      </c>
      <c r="AB16" s="22" t="str">
        <f aca="false">IF(ISNUMBER(SEARCH(";"&amp;$A16&amp;";",";"&amp;SUBSTITUTE(INDEX(Services!$I$2:$I$27,MATCH(AB$1,Services!$A$2:$A$27,0))," ","")&amp;";")),"●","")</f>
        <v/>
      </c>
      <c r="AC16" s="23" t="n">
        <f aca="false">COUNTIF(C16:AB16,"●")</f>
        <v>2</v>
      </c>
    </row>
    <row r="17" customFormat="false" ht="15" hidden="false" customHeight="false" outlineLevel="0" collapsed="false">
      <c r="A17" s="21" t="s">
        <v>269</v>
      </c>
      <c r="B17" s="21" t="s">
        <v>680</v>
      </c>
      <c r="C17" s="22" t="str">
        <f aca="false">IF(ISNUMBER(SEARCH(";"&amp;$A17&amp;";",";"&amp;SUBSTITUTE(INDEX(Services!$I$2:$I$27,MATCH(C$1,Services!$A$2:$A$27,0))," ","")&amp;";")),"●","")</f>
        <v/>
      </c>
      <c r="D17" s="22" t="str">
        <f aca="false">IF(ISNUMBER(SEARCH(";"&amp;$A17&amp;";",";"&amp;SUBSTITUTE(INDEX(Services!$I$2:$I$27,MATCH(D$1,Services!$A$2:$A$27,0))," ","")&amp;";")),"●","")</f>
        <v/>
      </c>
      <c r="E17" s="22" t="str">
        <f aca="false">IF(ISNUMBER(SEARCH(";"&amp;$A17&amp;";",";"&amp;SUBSTITUTE(INDEX(Services!$I$2:$I$27,MATCH(E$1,Services!$A$2:$A$27,0))," ","")&amp;";")),"●","")</f>
        <v/>
      </c>
      <c r="F17" s="22" t="str">
        <f aca="false">IF(ISNUMBER(SEARCH(";"&amp;$A17&amp;";",";"&amp;SUBSTITUTE(INDEX(Services!$I$2:$I$27,MATCH(F$1,Services!$A$2:$A$27,0))," ","")&amp;";")),"●","")</f>
        <v/>
      </c>
      <c r="G17" s="22" t="str">
        <f aca="false">IF(ISNUMBER(SEARCH(";"&amp;$A17&amp;";",";"&amp;SUBSTITUTE(INDEX(Services!$I$2:$I$27,MATCH(G$1,Services!$A$2:$A$27,0))," ","")&amp;";")),"●","")</f>
        <v>●</v>
      </c>
      <c r="H17" s="22" t="str">
        <f aca="false">IF(ISNUMBER(SEARCH(";"&amp;$A17&amp;";",";"&amp;SUBSTITUTE(INDEX(Services!$I$2:$I$27,MATCH(H$1,Services!$A$2:$A$27,0))," ","")&amp;";")),"●","")</f>
        <v/>
      </c>
      <c r="I17" s="22" t="str">
        <f aca="false">IF(ISNUMBER(SEARCH(";"&amp;$A17&amp;";",";"&amp;SUBSTITUTE(INDEX(Services!$I$2:$I$27,MATCH(I$1,Services!$A$2:$A$27,0))," ","")&amp;";")),"●","")</f>
        <v/>
      </c>
      <c r="J17" s="22" t="str">
        <f aca="false">IF(ISNUMBER(SEARCH(";"&amp;$A17&amp;";",";"&amp;SUBSTITUTE(INDEX(Services!$I$2:$I$27,MATCH(J$1,Services!$A$2:$A$27,0))," ","")&amp;";")),"●","")</f>
        <v/>
      </c>
      <c r="K17" s="22" t="str">
        <f aca="false">IF(ISNUMBER(SEARCH(";"&amp;$A17&amp;";",";"&amp;SUBSTITUTE(INDEX(Services!$I$2:$I$27,MATCH(K$1,Services!$A$2:$A$27,0))," ","")&amp;";")),"●","")</f>
        <v>●</v>
      </c>
      <c r="L17" s="22" t="str">
        <f aca="false">IF(ISNUMBER(SEARCH(";"&amp;$A17&amp;";",";"&amp;SUBSTITUTE(INDEX(Services!$I$2:$I$27,MATCH(L$1,Services!$A$2:$A$27,0))," ","")&amp;";")),"●","")</f>
        <v/>
      </c>
      <c r="M17" s="22" t="str">
        <f aca="false">IF(ISNUMBER(SEARCH(";"&amp;$A17&amp;";",";"&amp;SUBSTITUTE(INDEX(Services!$I$2:$I$27,MATCH(M$1,Services!$A$2:$A$27,0))," ","")&amp;";")),"●","")</f>
        <v/>
      </c>
      <c r="N17" s="22" t="str">
        <f aca="false">IF(ISNUMBER(SEARCH(";"&amp;$A17&amp;";",";"&amp;SUBSTITUTE(INDEX(Services!$I$2:$I$27,MATCH(N$1,Services!$A$2:$A$27,0))," ","")&amp;";")),"●","")</f>
        <v/>
      </c>
      <c r="O17" s="22" t="str">
        <f aca="false">IF(ISNUMBER(SEARCH(";"&amp;$A17&amp;";",";"&amp;SUBSTITUTE(INDEX(Services!$I$2:$I$27,MATCH(O$1,Services!$A$2:$A$27,0))," ","")&amp;";")),"●","")</f>
        <v/>
      </c>
      <c r="P17" s="22" t="str">
        <f aca="false">IF(ISNUMBER(SEARCH(";"&amp;$A17&amp;";",";"&amp;SUBSTITUTE(INDEX(Services!$I$2:$I$27,MATCH(P$1,Services!$A$2:$A$27,0))," ","")&amp;";")),"●","")</f>
        <v/>
      </c>
      <c r="Q17" s="22" t="str">
        <f aca="false">IF(ISNUMBER(SEARCH(";"&amp;$A17&amp;";",";"&amp;SUBSTITUTE(INDEX(Services!$I$2:$I$27,MATCH(Q$1,Services!$A$2:$A$27,0))," ","")&amp;";")),"●","")</f>
        <v/>
      </c>
      <c r="R17" s="22" t="str">
        <f aca="false">IF(ISNUMBER(SEARCH(";"&amp;$A17&amp;";",";"&amp;SUBSTITUTE(INDEX(Services!$I$2:$I$27,MATCH(R$1,Services!$A$2:$A$27,0))," ","")&amp;";")),"●","")</f>
        <v/>
      </c>
      <c r="S17" s="22" t="str">
        <f aca="false">IF(ISNUMBER(SEARCH(";"&amp;$A17&amp;";",";"&amp;SUBSTITUTE(INDEX(Services!$I$2:$I$27,MATCH(S$1,Services!$A$2:$A$27,0))," ","")&amp;";")),"●","")</f>
        <v>●</v>
      </c>
      <c r="T17" s="22" t="str">
        <f aca="false">IF(ISNUMBER(SEARCH(";"&amp;$A17&amp;";",";"&amp;SUBSTITUTE(INDEX(Services!$I$2:$I$27,MATCH(T$1,Services!$A$2:$A$27,0))," ","")&amp;";")),"●","")</f>
        <v/>
      </c>
      <c r="U17" s="22" t="str">
        <f aca="false">IF(ISNUMBER(SEARCH(";"&amp;$A17&amp;";",";"&amp;SUBSTITUTE(INDEX(Services!$I$2:$I$27,MATCH(U$1,Services!$A$2:$A$27,0))," ","")&amp;";")),"●","")</f>
        <v/>
      </c>
      <c r="V17" s="22" t="str">
        <f aca="false">IF(ISNUMBER(SEARCH(";"&amp;$A17&amp;";",";"&amp;SUBSTITUTE(INDEX(Services!$I$2:$I$27,MATCH(V$1,Services!$A$2:$A$27,0))," ","")&amp;";")),"●","")</f>
        <v/>
      </c>
      <c r="W17" s="22" t="str">
        <f aca="false">IF(ISNUMBER(SEARCH(";"&amp;$A17&amp;";",";"&amp;SUBSTITUTE(INDEX(Services!$I$2:$I$27,MATCH(W$1,Services!$A$2:$A$27,0))," ","")&amp;";")),"●","")</f>
        <v/>
      </c>
      <c r="X17" s="22" t="str">
        <f aca="false">IF(ISNUMBER(SEARCH(";"&amp;$A17&amp;";",";"&amp;SUBSTITUTE(INDEX(Services!$I$2:$I$27,MATCH(X$1,Services!$A$2:$A$27,0))," ","")&amp;";")),"●","")</f>
        <v/>
      </c>
      <c r="Y17" s="22" t="str">
        <f aca="false">IF(ISNUMBER(SEARCH(";"&amp;$A17&amp;";",";"&amp;SUBSTITUTE(INDEX(Services!$I$2:$I$27,MATCH(Y$1,Services!$A$2:$A$27,0))," ","")&amp;";")),"●","")</f>
        <v/>
      </c>
      <c r="Z17" s="22" t="str">
        <f aca="false">IF(ISNUMBER(SEARCH(";"&amp;$A17&amp;";",";"&amp;SUBSTITUTE(INDEX(Services!$I$2:$I$27,MATCH(Z$1,Services!$A$2:$A$27,0))," ","")&amp;";")),"●","")</f>
        <v/>
      </c>
      <c r="AA17" s="22" t="str">
        <f aca="false">IF(ISNUMBER(SEARCH(";"&amp;$A17&amp;";",";"&amp;SUBSTITUTE(INDEX(Services!$I$2:$I$27,MATCH(AA$1,Services!$A$2:$A$27,0))," ","")&amp;";")),"●","")</f>
        <v/>
      </c>
      <c r="AB17" s="22" t="str">
        <f aca="false">IF(ISNUMBER(SEARCH(";"&amp;$A17&amp;";",";"&amp;SUBSTITUTE(INDEX(Services!$I$2:$I$27,MATCH(AB$1,Services!$A$2:$A$27,0))," ","")&amp;";")),"●","")</f>
        <v/>
      </c>
      <c r="AC17" s="23" t="n">
        <f aca="false">COUNTIF(C17:AB17,"●")</f>
        <v>3</v>
      </c>
    </row>
    <row r="18" customFormat="false" ht="15" hidden="false" customHeight="false" outlineLevel="0" collapsed="false">
      <c r="A18" s="21" t="s">
        <v>280</v>
      </c>
      <c r="B18" s="21" t="s">
        <v>681</v>
      </c>
      <c r="C18" s="22" t="str">
        <f aca="false">IF(ISNUMBER(SEARCH(";"&amp;$A18&amp;";",";"&amp;SUBSTITUTE(INDEX(Services!$I$2:$I$27,MATCH(C$1,Services!$A$2:$A$27,0))," ","")&amp;";")),"●","")</f>
        <v/>
      </c>
      <c r="D18" s="22" t="str">
        <f aca="false">IF(ISNUMBER(SEARCH(";"&amp;$A18&amp;";",";"&amp;SUBSTITUTE(INDEX(Services!$I$2:$I$27,MATCH(D$1,Services!$A$2:$A$27,0))," ","")&amp;";")),"●","")</f>
        <v/>
      </c>
      <c r="E18" s="22" t="str">
        <f aca="false">IF(ISNUMBER(SEARCH(";"&amp;$A18&amp;";",";"&amp;SUBSTITUTE(INDEX(Services!$I$2:$I$27,MATCH(E$1,Services!$A$2:$A$27,0))," ","")&amp;";")),"●","")</f>
        <v/>
      </c>
      <c r="F18" s="22" t="str">
        <f aca="false">IF(ISNUMBER(SEARCH(";"&amp;$A18&amp;";",";"&amp;SUBSTITUTE(INDEX(Services!$I$2:$I$27,MATCH(F$1,Services!$A$2:$A$27,0))," ","")&amp;";")),"●","")</f>
        <v/>
      </c>
      <c r="G18" s="22" t="str">
        <f aca="false">IF(ISNUMBER(SEARCH(";"&amp;$A18&amp;";",";"&amp;SUBSTITUTE(INDEX(Services!$I$2:$I$27,MATCH(G$1,Services!$A$2:$A$27,0))," ","")&amp;";")),"●","")</f>
        <v>●</v>
      </c>
      <c r="H18" s="22" t="str">
        <f aca="false">IF(ISNUMBER(SEARCH(";"&amp;$A18&amp;";",";"&amp;SUBSTITUTE(INDEX(Services!$I$2:$I$27,MATCH(H$1,Services!$A$2:$A$27,0))," ","")&amp;";")),"●","")</f>
        <v/>
      </c>
      <c r="I18" s="22" t="str">
        <f aca="false">IF(ISNUMBER(SEARCH(";"&amp;$A18&amp;";",";"&amp;SUBSTITUTE(INDEX(Services!$I$2:$I$27,MATCH(I$1,Services!$A$2:$A$27,0))," ","")&amp;";")),"●","")</f>
        <v/>
      </c>
      <c r="J18" s="22" t="str">
        <f aca="false">IF(ISNUMBER(SEARCH(";"&amp;$A18&amp;";",";"&amp;SUBSTITUTE(INDEX(Services!$I$2:$I$27,MATCH(J$1,Services!$A$2:$A$27,0))," ","")&amp;";")),"●","")</f>
        <v/>
      </c>
      <c r="K18" s="22" t="str">
        <f aca="false">IF(ISNUMBER(SEARCH(";"&amp;$A18&amp;";",";"&amp;SUBSTITUTE(INDEX(Services!$I$2:$I$27,MATCH(K$1,Services!$A$2:$A$27,0))," ","")&amp;";")),"●","")</f>
        <v/>
      </c>
      <c r="L18" s="22" t="str">
        <f aca="false">IF(ISNUMBER(SEARCH(";"&amp;$A18&amp;";",";"&amp;SUBSTITUTE(INDEX(Services!$I$2:$I$27,MATCH(L$1,Services!$A$2:$A$27,0))," ","")&amp;";")),"●","")</f>
        <v/>
      </c>
      <c r="M18" s="22" t="str">
        <f aca="false">IF(ISNUMBER(SEARCH(";"&amp;$A18&amp;";",";"&amp;SUBSTITUTE(INDEX(Services!$I$2:$I$27,MATCH(M$1,Services!$A$2:$A$27,0))," ","")&amp;";")),"●","")</f>
        <v/>
      </c>
      <c r="N18" s="22" t="str">
        <f aca="false">IF(ISNUMBER(SEARCH(";"&amp;$A18&amp;";",";"&amp;SUBSTITUTE(INDEX(Services!$I$2:$I$27,MATCH(N$1,Services!$A$2:$A$27,0))," ","")&amp;";")),"●","")</f>
        <v/>
      </c>
      <c r="O18" s="22" t="str">
        <f aca="false">IF(ISNUMBER(SEARCH(";"&amp;$A18&amp;";",";"&amp;SUBSTITUTE(INDEX(Services!$I$2:$I$27,MATCH(O$1,Services!$A$2:$A$27,0))," ","")&amp;";")),"●","")</f>
        <v/>
      </c>
      <c r="P18" s="22" t="str">
        <f aca="false">IF(ISNUMBER(SEARCH(";"&amp;$A18&amp;";",";"&amp;SUBSTITUTE(INDEX(Services!$I$2:$I$27,MATCH(P$1,Services!$A$2:$A$27,0))," ","")&amp;";")),"●","")</f>
        <v/>
      </c>
      <c r="Q18" s="22" t="str">
        <f aca="false">IF(ISNUMBER(SEARCH(";"&amp;$A18&amp;";",";"&amp;SUBSTITUTE(INDEX(Services!$I$2:$I$27,MATCH(Q$1,Services!$A$2:$A$27,0))," ","")&amp;";")),"●","")</f>
        <v/>
      </c>
      <c r="R18" s="22" t="str">
        <f aca="false">IF(ISNUMBER(SEARCH(";"&amp;$A18&amp;";",";"&amp;SUBSTITUTE(INDEX(Services!$I$2:$I$27,MATCH(R$1,Services!$A$2:$A$27,0))," ","")&amp;";")),"●","")</f>
        <v>●</v>
      </c>
      <c r="S18" s="22" t="str">
        <f aca="false">IF(ISNUMBER(SEARCH(";"&amp;$A18&amp;";",";"&amp;SUBSTITUTE(INDEX(Services!$I$2:$I$27,MATCH(S$1,Services!$A$2:$A$27,0))," ","")&amp;";")),"●","")</f>
        <v/>
      </c>
      <c r="T18" s="22" t="str">
        <f aca="false">IF(ISNUMBER(SEARCH(";"&amp;$A18&amp;";",";"&amp;SUBSTITUTE(INDEX(Services!$I$2:$I$27,MATCH(T$1,Services!$A$2:$A$27,0))," ","")&amp;";")),"●","")</f>
        <v/>
      </c>
      <c r="U18" s="22" t="str">
        <f aca="false">IF(ISNUMBER(SEARCH(";"&amp;$A18&amp;";",";"&amp;SUBSTITUTE(INDEX(Services!$I$2:$I$27,MATCH(U$1,Services!$A$2:$A$27,0))," ","")&amp;";")),"●","")</f>
        <v/>
      </c>
      <c r="V18" s="22" t="str">
        <f aca="false">IF(ISNUMBER(SEARCH(";"&amp;$A18&amp;";",";"&amp;SUBSTITUTE(INDEX(Services!$I$2:$I$27,MATCH(V$1,Services!$A$2:$A$27,0))," ","")&amp;";")),"●","")</f>
        <v/>
      </c>
      <c r="W18" s="22" t="str">
        <f aca="false">IF(ISNUMBER(SEARCH(";"&amp;$A18&amp;";",";"&amp;SUBSTITUTE(INDEX(Services!$I$2:$I$27,MATCH(W$1,Services!$A$2:$A$27,0))," ","")&amp;";")),"●","")</f>
        <v/>
      </c>
      <c r="X18" s="22" t="str">
        <f aca="false">IF(ISNUMBER(SEARCH(";"&amp;$A18&amp;";",";"&amp;SUBSTITUTE(INDEX(Services!$I$2:$I$27,MATCH(X$1,Services!$A$2:$A$27,0))," ","")&amp;";")),"●","")</f>
        <v/>
      </c>
      <c r="Y18" s="22" t="str">
        <f aca="false">IF(ISNUMBER(SEARCH(";"&amp;$A18&amp;";",";"&amp;SUBSTITUTE(INDEX(Services!$I$2:$I$27,MATCH(Y$1,Services!$A$2:$A$27,0))," ","")&amp;";")),"●","")</f>
        <v/>
      </c>
      <c r="Z18" s="22" t="str">
        <f aca="false">IF(ISNUMBER(SEARCH(";"&amp;$A18&amp;";",";"&amp;SUBSTITUTE(INDEX(Services!$I$2:$I$27,MATCH(Z$1,Services!$A$2:$A$27,0))," ","")&amp;";")),"●","")</f>
        <v>●</v>
      </c>
      <c r="AA18" s="22" t="str">
        <f aca="false">IF(ISNUMBER(SEARCH(";"&amp;$A18&amp;";",";"&amp;SUBSTITUTE(INDEX(Services!$I$2:$I$27,MATCH(AA$1,Services!$A$2:$A$27,0))," ","")&amp;";")),"●","")</f>
        <v/>
      </c>
      <c r="AB18" s="22" t="str">
        <f aca="false">IF(ISNUMBER(SEARCH(";"&amp;$A18&amp;";",";"&amp;SUBSTITUTE(INDEX(Services!$I$2:$I$27,MATCH(AB$1,Services!$A$2:$A$27,0))," ","")&amp;";")),"●","")</f>
        <v/>
      </c>
      <c r="AC18" s="23" t="n">
        <f aca="false">COUNTIF(C18:AB18,"●")</f>
        <v>3</v>
      </c>
    </row>
    <row r="19" customFormat="false" ht="15" hidden="false" customHeight="false" outlineLevel="0" collapsed="false">
      <c r="A19" s="21" t="s">
        <v>290</v>
      </c>
      <c r="B19" s="21" t="s">
        <v>682</v>
      </c>
      <c r="C19" s="22" t="str">
        <f aca="false">IF(ISNUMBER(SEARCH(";"&amp;$A19&amp;";",";"&amp;SUBSTITUTE(INDEX(Services!$I$2:$I$27,MATCH(C$1,Services!$A$2:$A$27,0))," ","")&amp;";")),"●","")</f>
        <v/>
      </c>
      <c r="D19" s="22" t="str">
        <f aca="false">IF(ISNUMBER(SEARCH(";"&amp;$A19&amp;";",";"&amp;SUBSTITUTE(INDEX(Services!$I$2:$I$27,MATCH(D$1,Services!$A$2:$A$27,0))," ","")&amp;";")),"●","")</f>
        <v/>
      </c>
      <c r="E19" s="22" t="str">
        <f aca="false">IF(ISNUMBER(SEARCH(";"&amp;$A19&amp;";",";"&amp;SUBSTITUTE(INDEX(Services!$I$2:$I$27,MATCH(E$1,Services!$A$2:$A$27,0))," ","")&amp;";")),"●","")</f>
        <v/>
      </c>
      <c r="F19" s="22" t="str">
        <f aca="false">IF(ISNUMBER(SEARCH(";"&amp;$A19&amp;";",";"&amp;SUBSTITUTE(INDEX(Services!$I$2:$I$27,MATCH(F$1,Services!$A$2:$A$27,0))," ","")&amp;";")),"●","")</f>
        <v/>
      </c>
      <c r="G19" s="22" t="str">
        <f aca="false">IF(ISNUMBER(SEARCH(";"&amp;$A19&amp;";",";"&amp;SUBSTITUTE(INDEX(Services!$I$2:$I$27,MATCH(G$1,Services!$A$2:$A$27,0))," ","")&amp;";")),"●","")</f>
        <v/>
      </c>
      <c r="H19" s="22" t="str">
        <f aca="false">IF(ISNUMBER(SEARCH(";"&amp;$A19&amp;";",";"&amp;SUBSTITUTE(INDEX(Services!$I$2:$I$27,MATCH(H$1,Services!$A$2:$A$27,0))," ","")&amp;";")),"●","")</f>
        <v>●</v>
      </c>
      <c r="I19" s="22" t="str">
        <f aca="false">IF(ISNUMBER(SEARCH(";"&amp;$A19&amp;";",";"&amp;SUBSTITUTE(INDEX(Services!$I$2:$I$27,MATCH(I$1,Services!$A$2:$A$27,0))," ","")&amp;";")),"●","")</f>
        <v/>
      </c>
      <c r="J19" s="22" t="str">
        <f aca="false">IF(ISNUMBER(SEARCH(";"&amp;$A19&amp;";",";"&amp;SUBSTITUTE(INDEX(Services!$I$2:$I$27,MATCH(J$1,Services!$A$2:$A$27,0))," ","")&amp;";")),"●","")</f>
        <v/>
      </c>
      <c r="K19" s="22" t="str">
        <f aca="false">IF(ISNUMBER(SEARCH(";"&amp;$A19&amp;";",";"&amp;SUBSTITUTE(INDEX(Services!$I$2:$I$27,MATCH(K$1,Services!$A$2:$A$27,0))," ","")&amp;";")),"●","")</f>
        <v/>
      </c>
      <c r="L19" s="22" t="str">
        <f aca="false">IF(ISNUMBER(SEARCH(";"&amp;$A19&amp;";",";"&amp;SUBSTITUTE(INDEX(Services!$I$2:$I$27,MATCH(L$1,Services!$A$2:$A$27,0))," ","")&amp;";")),"●","")</f>
        <v/>
      </c>
      <c r="M19" s="22" t="str">
        <f aca="false">IF(ISNUMBER(SEARCH(";"&amp;$A19&amp;";",";"&amp;SUBSTITUTE(INDEX(Services!$I$2:$I$27,MATCH(M$1,Services!$A$2:$A$27,0))," ","")&amp;";")),"●","")</f>
        <v/>
      </c>
      <c r="N19" s="22" t="str">
        <f aca="false">IF(ISNUMBER(SEARCH(";"&amp;$A19&amp;";",";"&amp;SUBSTITUTE(INDEX(Services!$I$2:$I$27,MATCH(N$1,Services!$A$2:$A$27,0))," ","")&amp;";")),"●","")</f>
        <v/>
      </c>
      <c r="O19" s="22" t="str">
        <f aca="false">IF(ISNUMBER(SEARCH(";"&amp;$A19&amp;";",";"&amp;SUBSTITUTE(INDEX(Services!$I$2:$I$27,MATCH(O$1,Services!$A$2:$A$27,0))," ","")&amp;";")),"●","")</f>
        <v/>
      </c>
      <c r="P19" s="22" t="str">
        <f aca="false">IF(ISNUMBER(SEARCH(";"&amp;$A19&amp;";",";"&amp;SUBSTITUTE(INDEX(Services!$I$2:$I$27,MATCH(P$1,Services!$A$2:$A$27,0))," ","")&amp;";")),"●","")</f>
        <v/>
      </c>
      <c r="Q19" s="22" t="str">
        <f aca="false">IF(ISNUMBER(SEARCH(";"&amp;$A19&amp;";",";"&amp;SUBSTITUTE(INDEX(Services!$I$2:$I$27,MATCH(Q$1,Services!$A$2:$A$27,0))," ","")&amp;";")),"●","")</f>
        <v/>
      </c>
      <c r="R19" s="22" t="str">
        <f aca="false">IF(ISNUMBER(SEARCH(";"&amp;$A19&amp;";",";"&amp;SUBSTITUTE(INDEX(Services!$I$2:$I$27,MATCH(R$1,Services!$A$2:$A$27,0))," ","")&amp;";")),"●","")</f>
        <v/>
      </c>
      <c r="S19" s="22" t="str">
        <f aca="false">IF(ISNUMBER(SEARCH(";"&amp;$A19&amp;";",";"&amp;SUBSTITUTE(INDEX(Services!$I$2:$I$27,MATCH(S$1,Services!$A$2:$A$27,0))," ","")&amp;";")),"●","")</f>
        <v/>
      </c>
      <c r="T19" s="22" t="str">
        <f aca="false">IF(ISNUMBER(SEARCH(";"&amp;$A19&amp;";",";"&amp;SUBSTITUTE(INDEX(Services!$I$2:$I$27,MATCH(T$1,Services!$A$2:$A$27,0))," ","")&amp;";")),"●","")</f>
        <v/>
      </c>
      <c r="U19" s="22" t="str">
        <f aca="false">IF(ISNUMBER(SEARCH(";"&amp;$A19&amp;";",";"&amp;SUBSTITUTE(INDEX(Services!$I$2:$I$27,MATCH(U$1,Services!$A$2:$A$27,0))," ","")&amp;";")),"●","")</f>
        <v/>
      </c>
      <c r="V19" s="22" t="str">
        <f aca="false">IF(ISNUMBER(SEARCH(";"&amp;$A19&amp;";",";"&amp;SUBSTITUTE(INDEX(Services!$I$2:$I$27,MATCH(V$1,Services!$A$2:$A$27,0))," ","")&amp;";")),"●","")</f>
        <v/>
      </c>
      <c r="W19" s="22" t="str">
        <f aca="false">IF(ISNUMBER(SEARCH(";"&amp;$A19&amp;";",";"&amp;SUBSTITUTE(INDEX(Services!$I$2:$I$27,MATCH(W$1,Services!$A$2:$A$27,0))," ","")&amp;";")),"●","")</f>
        <v/>
      </c>
      <c r="X19" s="22" t="str">
        <f aca="false">IF(ISNUMBER(SEARCH(";"&amp;$A19&amp;";",";"&amp;SUBSTITUTE(INDEX(Services!$I$2:$I$27,MATCH(X$1,Services!$A$2:$A$27,0))," ","")&amp;";")),"●","")</f>
        <v/>
      </c>
      <c r="Y19" s="22" t="str">
        <f aca="false">IF(ISNUMBER(SEARCH(";"&amp;$A19&amp;";",";"&amp;SUBSTITUTE(INDEX(Services!$I$2:$I$27,MATCH(Y$1,Services!$A$2:$A$27,0))," ","")&amp;";")),"●","")</f>
        <v/>
      </c>
      <c r="Z19" s="22" t="str">
        <f aca="false">IF(ISNUMBER(SEARCH(";"&amp;$A19&amp;";",";"&amp;SUBSTITUTE(INDEX(Services!$I$2:$I$27,MATCH(Z$1,Services!$A$2:$A$27,0))," ","")&amp;";")),"●","")</f>
        <v/>
      </c>
      <c r="AA19" s="22" t="str">
        <f aca="false">IF(ISNUMBER(SEARCH(";"&amp;$A19&amp;";",";"&amp;SUBSTITUTE(INDEX(Services!$I$2:$I$27,MATCH(AA$1,Services!$A$2:$A$27,0))," ","")&amp;";")),"●","")</f>
        <v/>
      </c>
      <c r="AB19" s="22" t="str">
        <f aca="false">IF(ISNUMBER(SEARCH(";"&amp;$A19&amp;";",";"&amp;SUBSTITUTE(INDEX(Services!$I$2:$I$27,MATCH(AB$1,Services!$A$2:$A$27,0))," ","")&amp;";")),"●","")</f>
        <v/>
      </c>
      <c r="AC19" s="23" t="n">
        <f aca="false">COUNTIF(C19:AB19,"●")</f>
        <v>1</v>
      </c>
    </row>
    <row r="20" customFormat="false" ht="15" hidden="false" customHeight="false" outlineLevel="0" collapsed="false">
      <c r="A20" s="21" t="s">
        <v>301</v>
      </c>
      <c r="B20" s="21" t="s">
        <v>683</v>
      </c>
      <c r="C20" s="22" t="str">
        <f aca="false">IF(ISNUMBER(SEARCH(";"&amp;$A20&amp;";",";"&amp;SUBSTITUTE(INDEX(Services!$I$2:$I$27,MATCH(C$1,Services!$A$2:$A$27,0))," ","")&amp;";")),"●","")</f>
        <v/>
      </c>
      <c r="D20" s="22" t="str">
        <f aca="false">IF(ISNUMBER(SEARCH(";"&amp;$A20&amp;";",";"&amp;SUBSTITUTE(INDEX(Services!$I$2:$I$27,MATCH(D$1,Services!$A$2:$A$27,0))," ","")&amp;";")),"●","")</f>
        <v/>
      </c>
      <c r="E20" s="22" t="str">
        <f aca="false">IF(ISNUMBER(SEARCH(";"&amp;$A20&amp;";",";"&amp;SUBSTITUTE(INDEX(Services!$I$2:$I$27,MATCH(E$1,Services!$A$2:$A$27,0))," ","")&amp;";")),"●","")</f>
        <v/>
      </c>
      <c r="F20" s="22" t="str">
        <f aca="false">IF(ISNUMBER(SEARCH(";"&amp;$A20&amp;";",";"&amp;SUBSTITUTE(INDEX(Services!$I$2:$I$27,MATCH(F$1,Services!$A$2:$A$27,0))," ","")&amp;";")),"●","")</f>
        <v/>
      </c>
      <c r="G20" s="22" t="str">
        <f aca="false">IF(ISNUMBER(SEARCH(";"&amp;$A20&amp;";",";"&amp;SUBSTITUTE(INDEX(Services!$I$2:$I$27,MATCH(G$1,Services!$A$2:$A$27,0))," ","")&amp;";")),"●","")</f>
        <v/>
      </c>
      <c r="H20" s="22" t="str">
        <f aca="false">IF(ISNUMBER(SEARCH(";"&amp;$A20&amp;";",";"&amp;SUBSTITUTE(INDEX(Services!$I$2:$I$27,MATCH(H$1,Services!$A$2:$A$27,0))," ","")&amp;";")),"●","")</f>
        <v/>
      </c>
      <c r="I20" s="22" t="str">
        <f aca="false">IF(ISNUMBER(SEARCH(";"&amp;$A20&amp;";",";"&amp;SUBSTITUTE(INDEX(Services!$I$2:$I$27,MATCH(I$1,Services!$A$2:$A$27,0))," ","")&amp;";")),"●","")</f>
        <v/>
      </c>
      <c r="J20" s="22" t="str">
        <f aca="false">IF(ISNUMBER(SEARCH(";"&amp;$A20&amp;";",";"&amp;SUBSTITUTE(INDEX(Services!$I$2:$I$27,MATCH(J$1,Services!$A$2:$A$27,0))," ","")&amp;";")),"●","")</f>
        <v/>
      </c>
      <c r="K20" s="22" t="str">
        <f aca="false">IF(ISNUMBER(SEARCH(";"&amp;$A20&amp;";",";"&amp;SUBSTITUTE(INDEX(Services!$I$2:$I$27,MATCH(K$1,Services!$A$2:$A$27,0))," ","")&amp;";")),"●","")</f>
        <v/>
      </c>
      <c r="L20" s="22" t="str">
        <f aca="false">IF(ISNUMBER(SEARCH(";"&amp;$A20&amp;";",";"&amp;SUBSTITUTE(INDEX(Services!$I$2:$I$27,MATCH(L$1,Services!$A$2:$A$27,0))," ","")&amp;";")),"●","")</f>
        <v/>
      </c>
      <c r="M20" s="22" t="str">
        <f aca="false">IF(ISNUMBER(SEARCH(";"&amp;$A20&amp;";",";"&amp;SUBSTITUTE(INDEX(Services!$I$2:$I$27,MATCH(M$1,Services!$A$2:$A$27,0))," ","")&amp;";")),"●","")</f>
        <v/>
      </c>
      <c r="N20" s="22" t="str">
        <f aca="false">IF(ISNUMBER(SEARCH(";"&amp;$A20&amp;";",";"&amp;SUBSTITUTE(INDEX(Services!$I$2:$I$27,MATCH(N$1,Services!$A$2:$A$27,0))," ","")&amp;";")),"●","")</f>
        <v/>
      </c>
      <c r="O20" s="22" t="str">
        <f aca="false">IF(ISNUMBER(SEARCH(";"&amp;$A20&amp;";",";"&amp;SUBSTITUTE(INDEX(Services!$I$2:$I$27,MATCH(O$1,Services!$A$2:$A$27,0))," ","")&amp;";")),"●","")</f>
        <v/>
      </c>
      <c r="P20" s="22" t="str">
        <f aca="false">IF(ISNUMBER(SEARCH(";"&amp;$A20&amp;";",";"&amp;SUBSTITUTE(INDEX(Services!$I$2:$I$27,MATCH(P$1,Services!$A$2:$A$27,0))," ","")&amp;";")),"●","")</f>
        <v/>
      </c>
      <c r="Q20" s="22" t="str">
        <f aca="false">IF(ISNUMBER(SEARCH(";"&amp;$A20&amp;";",";"&amp;SUBSTITUTE(INDEX(Services!$I$2:$I$27,MATCH(Q$1,Services!$A$2:$A$27,0))," ","")&amp;";")),"●","")</f>
        <v/>
      </c>
      <c r="R20" s="22" t="str">
        <f aca="false">IF(ISNUMBER(SEARCH(";"&amp;$A20&amp;";",";"&amp;SUBSTITUTE(INDEX(Services!$I$2:$I$27,MATCH(R$1,Services!$A$2:$A$27,0))," ","")&amp;";")),"●","")</f>
        <v>●</v>
      </c>
      <c r="S20" s="22" t="str">
        <f aca="false">IF(ISNUMBER(SEARCH(";"&amp;$A20&amp;";",";"&amp;SUBSTITUTE(INDEX(Services!$I$2:$I$27,MATCH(S$1,Services!$A$2:$A$27,0))," ","")&amp;";")),"●","")</f>
        <v>●</v>
      </c>
      <c r="T20" s="22" t="str">
        <f aca="false">IF(ISNUMBER(SEARCH(";"&amp;$A20&amp;";",";"&amp;SUBSTITUTE(INDEX(Services!$I$2:$I$27,MATCH(T$1,Services!$A$2:$A$27,0))," ","")&amp;";")),"●","")</f>
        <v/>
      </c>
      <c r="U20" s="22" t="str">
        <f aca="false">IF(ISNUMBER(SEARCH(";"&amp;$A20&amp;";",";"&amp;SUBSTITUTE(INDEX(Services!$I$2:$I$27,MATCH(U$1,Services!$A$2:$A$27,0))," ","")&amp;";")),"●","")</f>
        <v>●</v>
      </c>
      <c r="V20" s="22" t="str">
        <f aca="false">IF(ISNUMBER(SEARCH(";"&amp;$A20&amp;";",";"&amp;SUBSTITUTE(INDEX(Services!$I$2:$I$27,MATCH(V$1,Services!$A$2:$A$27,0))," ","")&amp;";")),"●","")</f>
        <v/>
      </c>
      <c r="W20" s="22" t="str">
        <f aca="false">IF(ISNUMBER(SEARCH(";"&amp;$A20&amp;";",";"&amp;SUBSTITUTE(INDEX(Services!$I$2:$I$27,MATCH(W$1,Services!$A$2:$A$27,0))," ","")&amp;";")),"●","")</f>
        <v/>
      </c>
      <c r="X20" s="22" t="str">
        <f aca="false">IF(ISNUMBER(SEARCH(";"&amp;$A20&amp;";",";"&amp;SUBSTITUTE(INDEX(Services!$I$2:$I$27,MATCH(X$1,Services!$A$2:$A$27,0))," ","")&amp;";")),"●","")</f>
        <v/>
      </c>
      <c r="Y20" s="22" t="str">
        <f aca="false">IF(ISNUMBER(SEARCH(";"&amp;$A20&amp;";",";"&amp;SUBSTITUTE(INDEX(Services!$I$2:$I$27,MATCH(Y$1,Services!$A$2:$A$27,0))," ","")&amp;";")),"●","")</f>
        <v/>
      </c>
      <c r="Z20" s="22" t="str">
        <f aca="false">IF(ISNUMBER(SEARCH(";"&amp;$A20&amp;";",";"&amp;SUBSTITUTE(INDEX(Services!$I$2:$I$27,MATCH(Z$1,Services!$A$2:$A$27,0))," ","")&amp;";")),"●","")</f>
        <v/>
      </c>
      <c r="AA20" s="22" t="str">
        <f aca="false">IF(ISNUMBER(SEARCH(";"&amp;$A20&amp;";",";"&amp;SUBSTITUTE(INDEX(Services!$I$2:$I$27,MATCH(AA$1,Services!$A$2:$A$27,0))," ","")&amp;";")),"●","")</f>
        <v/>
      </c>
      <c r="AB20" s="22" t="str">
        <f aca="false">IF(ISNUMBER(SEARCH(";"&amp;$A20&amp;";",";"&amp;SUBSTITUTE(INDEX(Services!$I$2:$I$27,MATCH(AB$1,Services!$A$2:$A$27,0))," ","")&amp;";")),"●","")</f>
        <v/>
      </c>
      <c r="AC20" s="23" t="n">
        <f aca="false">COUNTIF(C20:AB20,"●")</f>
        <v>3</v>
      </c>
    </row>
    <row r="21" customFormat="false" ht="15" hidden="false" customHeight="false" outlineLevel="0" collapsed="false">
      <c r="A21" s="21" t="s">
        <v>310</v>
      </c>
      <c r="B21" s="21" t="s">
        <v>684</v>
      </c>
      <c r="C21" s="22" t="str">
        <f aca="false">IF(ISNUMBER(SEARCH(";"&amp;$A21&amp;";",";"&amp;SUBSTITUTE(INDEX(Services!$I$2:$I$27,MATCH(C$1,Services!$A$2:$A$27,0))," ","")&amp;";")),"●","")</f>
        <v/>
      </c>
      <c r="D21" s="22" t="str">
        <f aca="false">IF(ISNUMBER(SEARCH(";"&amp;$A21&amp;";",";"&amp;SUBSTITUTE(INDEX(Services!$I$2:$I$27,MATCH(D$1,Services!$A$2:$A$27,0))," ","")&amp;";")),"●","")</f>
        <v>●</v>
      </c>
      <c r="E21" s="22" t="str">
        <f aca="false">IF(ISNUMBER(SEARCH(";"&amp;$A21&amp;";",";"&amp;SUBSTITUTE(INDEX(Services!$I$2:$I$27,MATCH(E$1,Services!$A$2:$A$27,0))," ","")&amp;";")),"●","")</f>
        <v/>
      </c>
      <c r="F21" s="22" t="str">
        <f aca="false">IF(ISNUMBER(SEARCH(";"&amp;$A21&amp;";",";"&amp;SUBSTITUTE(INDEX(Services!$I$2:$I$27,MATCH(F$1,Services!$A$2:$A$27,0))," ","")&amp;";")),"●","")</f>
        <v/>
      </c>
      <c r="G21" s="22" t="str">
        <f aca="false">IF(ISNUMBER(SEARCH(";"&amp;$A21&amp;";",";"&amp;SUBSTITUTE(INDEX(Services!$I$2:$I$27,MATCH(G$1,Services!$A$2:$A$27,0))," ","")&amp;";")),"●","")</f>
        <v/>
      </c>
      <c r="H21" s="22" t="str">
        <f aca="false">IF(ISNUMBER(SEARCH(";"&amp;$A21&amp;";",";"&amp;SUBSTITUTE(INDEX(Services!$I$2:$I$27,MATCH(H$1,Services!$A$2:$A$27,0))," ","")&amp;";")),"●","")</f>
        <v/>
      </c>
      <c r="I21" s="22" t="str">
        <f aca="false">IF(ISNUMBER(SEARCH(";"&amp;$A21&amp;";",";"&amp;SUBSTITUTE(INDEX(Services!$I$2:$I$27,MATCH(I$1,Services!$A$2:$A$27,0))," ","")&amp;";")),"●","")</f>
        <v/>
      </c>
      <c r="J21" s="22" t="str">
        <f aca="false">IF(ISNUMBER(SEARCH(";"&amp;$A21&amp;";",";"&amp;SUBSTITUTE(INDEX(Services!$I$2:$I$27,MATCH(J$1,Services!$A$2:$A$27,0))," ","")&amp;";")),"●","")</f>
        <v/>
      </c>
      <c r="K21" s="22" t="str">
        <f aca="false">IF(ISNUMBER(SEARCH(";"&amp;$A21&amp;";",";"&amp;SUBSTITUTE(INDEX(Services!$I$2:$I$27,MATCH(K$1,Services!$A$2:$A$27,0))," ","")&amp;";")),"●","")</f>
        <v/>
      </c>
      <c r="L21" s="22" t="str">
        <f aca="false">IF(ISNUMBER(SEARCH(";"&amp;$A21&amp;";",";"&amp;SUBSTITUTE(INDEX(Services!$I$2:$I$27,MATCH(L$1,Services!$A$2:$A$27,0))," ","")&amp;";")),"●","")</f>
        <v/>
      </c>
      <c r="M21" s="22" t="str">
        <f aca="false">IF(ISNUMBER(SEARCH(";"&amp;$A21&amp;";",";"&amp;SUBSTITUTE(INDEX(Services!$I$2:$I$27,MATCH(M$1,Services!$A$2:$A$27,0))," ","")&amp;";")),"●","")</f>
        <v/>
      </c>
      <c r="N21" s="22" t="str">
        <f aca="false">IF(ISNUMBER(SEARCH(";"&amp;$A21&amp;";",";"&amp;SUBSTITUTE(INDEX(Services!$I$2:$I$27,MATCH(N$1,Services!$A$2:$A$27,0))," ","")&amp;";")),"●","")</f>
        <v/>
      </c>
      <c r="O21" s="22" t="str">
        <f aca="false">IF(ISNUMBER(SEARCH(";"&amp;$A21&amp;";",";"&amp;SUBSTITUTE(INDEX(Services!$I$2:$I$27,MATCH(O$1,Services!$A$2:$A$27,0))," ","")&amp;";")),"●","")</f>
        <v/>
      </c>
      <c r="P21" s="22" t="str">
        <f aca="false">IF(ISNUMBER(SEARCH(";"&amp;$A21&amp;";",";"&amp;SUBSTITUTE(INDEX(Services!$I$2:$I$27,MATCH(P$1,Services!$A$2:$A$27,0))," ","")&amp;";")),"●","")</f>
        <v/>
      </c>
      <c r="Q21" s="22" t="str">
        <f aca="false">IF(ISNUMBER(SEARCH(";"&amp;$A21&amp;";",";"&amp;SUBSTITUTE(INDEX(Services!$I$2:$I$27,MATCH(Q$1,Services!$A$2:$A$27,0))," ","")&amp;";")),"●","")</f>
        <v/>
      </c>
      <c r="R21" s="22" t="str">
        <f aca="false">IF(ISNUMBER(SEARCH(";"&amp;$A21&amp;";",";"&amp;SUBSTITUTE(INDEX(Services!$I$2:$I$27,MATCH(R$1,Services!$A$2:$A$27,0))," ","")&amp;";")),"●","")</f>
        <v/>
      </c>
      <c r="S21" s="22" t="str">
        <f aca="false">IF(ISNUMBER(SEARCH(";"&amp;$A21&amp;";",";"&amp;SUBSTITUTE(INDEX(Services!$I$2:$I$27,MATCH(S$1,Services!$A$2:$A$27,0))," ","")&amp;";")),"●","")</f>
        <v/>
      </c>
      <c r="T21" s="22" t="str">
        <f aca="false">IF(ISNUMBER(SEARCH(";"&amp;$A21&amp;";",";"&amp;SUBSTITUTE(INDEX(Services!$I$2:$I$27,MATCH(T$1,Services!$A$2:$A$27,0))," ","")&amp;";")),"●","")</f>
        <v/>
      </c>
      <c r="U21" s="22" t="str">
        <f aca="false">IF(ISNUMBER(SEARCH(";"&amp;$A21&amp;";",";"&amp;SUBSTITUTE(INDEX(Services!$I$2:$I$27,MATCH(U$1,Services!$A$2:$A$27,0))," ","")&amp;";")),"●","")</f>
        <v/>
      </c>
      <c r="V21" s="22" t="str">
        <f aca="false">IF(ISNUMBER(SEARCH(";"&amp;$A21&amp;";",";"&amp;SUBSTITUTE(INDEX(Services!$I$2:$I$27,MATCH(V$1,Services!$A$2:$A$27,0))," ","")&amp;";")),"●","")</f>
        <v/>
      </c>
      <c r="W21" s="22" t="str">
        <f aca="false">IF(ISNUMBER(SEARCH(";"&amp;$A21&amp;";",";"&amp;SUBSTITUTE(INDEX(Services!$I$2:$I$27,MATCH(W$1,Services!$A$2:$A$27,0))," ","")&amp;";")),"●","")</f>
        <v/>
      </c>
      <c r="X21" s="22" t="str">
        <f aca="false">IF(ISNUMBER(SEARCH(";"&amp;$A21&amp;";",";"&amp;SUBSTITUTE(INDEX(Services!$I$2:$I$27,MATCH(X$1,Services!$A$2:$A$27,0))," ","")&amp;";")),"●","")</f>
        <v/>
      </c>
      <c r="Y21" s="22" t="str">
        <f aca="false">IF(ISNUMBER(SEARCH(";"&amp;$A21&amp;";",";"&amp;SUBSTITUTE(INDEX(Services!$I$2:$I$27,MATCH(Y$1,Services!$A$2:$A$27,0))," ","")&amp;";")),"●","")</f>
        <v/>
      </c>
      <c r="Z21" s="22" t="str">
        <f aca="false">IF(ISNUMBER(SEARCH(";"&amp;$A21&amp;";",";"&amp;SUBSTITUTE(INDEX(Services!$I$2:$I$27,MATCH(Z$1,Services!$A$2:$A$27,0))," ","")&amp;";")),"●","")</f>
        <v/>
      </c>
      <c r="AA21" s="22" t="str">
        <f aca="false">IF(ISNUMBER(SEARCH(";"&amp;$A21&amp;";",";"&amp;SUBSTITUTE(INDEX(Services!$I$2:$I$27,MATCH(AA$1,Services!$A$2:$A$27,0))," ","")&amp;";")),"●","")</f>
        <v/>
      </c>
      <c r="AB21" s="22" t="str">
        <f aca="false">IF(ISNUMBER(SEARCH(";"&amp;$A21&amp;";",";"&amp;SUBSTITUTE(INDEX(Services!$I$2:$I$27,MATCH(AB$1,Services!$A$2:$A$27,0))," ","")&amp;";")),"●","")</f>
        <v/>
      </c>
      <c r="AC21" s="23" t="n">
        <f aca="false">COUNTIF(C21:AB21,"●")</f>
        <v>1</v>
      </c>
    </row>
    <row r="22" customFormat="false" ht="15" hidden="false" customHeight="false" outlineLevel="0" collapsed="false">
      <c r="A22" s="21" t="s">
        <v>321</v>
      </c>
      <c r="B22" s="21" t="s">
        <v>685</v>
      </c>
      <c r="C22" s="22" t="str">
        <f aca="false">IF(ISNUMBER(SEARCH(";"&amp;$A22&amp;";",";"&amp;SUBSTITUTE(INDEX(Services!$I$2:$I$27,MATCH(C$1,Services!$A$2:$A$27,0))," ","")&amp;";")),"●","")</f>
        <v/>
      </c>
      <c r="D22" s="22" t="str">
        <f aca="false">IF(ISNUMBER(SEARCH(";"&amp;$A22&amp;";",";"&amp;SUBSTITUTE(INDEX(Services!$I$2:$I$27,MATCH(D$1,Services!$A$2:$A$27,0))," ","")&amp;";")),"●","")</f>
        <v/>
      </c>
      <c r="E22" s="22" t="str">
        <f aca="false">IF(ISNUMBER(SEARCH(";"&amp;$A22&amp;";",";"&amp;SUBSTITUTE(INDEX(Services!$I$2:$I$27,MATCH(E$1,Services!$A$2:$A$27,0))," ","")&amp;";")),"●","")</f>
        <v/>
      </c>
      <c r="F22" s="22" t="str">
        <f aca="false">IF(ISNUMBER(SEARCH(";"&amp;$A22&amp;";",";"&amp;SUBSTITUTE(INDEX(Services!$I$2:$I$27,MATCH(F$1,Services!$A$2:$A$27,0))," ","")&amp;";")),"●","")</f>
        <v/>
      </c>
      <c r="G22" s="22" t="str">
        <f aca="false">IF(ISNUMBER(SEARCH(";"&amp;$A22&amp;";",";"&amp;SUBSTITUTE(INDEX(Services!$I$2:$I$27,MATCH(G$1,Services!$A$2:$A$27,0))," ","")&amp;";")),"●","")</f>
        <v/>
      </c>
      <c r="H22" s="22" t="str">
        <f aca="false">IF(ISNUMBER(SEARCH(";"&amp;$A22&amp;";",";"&amp;SUBSTITUTE(INDEX(Services!$I$2:$I$27,MATCH(H$1,Services!$A$2:$A$27,0))," ","")&amp;";")),"●","")</f>
        <v/>
      </c>
      <c r="I22" s="22" t="str">
        <f aca="false">IF(ISNUMBER(SEARCH(";"&amp;$A22&amp;";",";"&amp;SUBSTITUTE(INDEX(Services!$I$2:$I$27,MATCH(I$1,Services!$A$2:$A$27,0))," ","")&amp;";")),"●","")</f>
        <v/>
      </c>
      <c r="J22" s="22" t="str">
        <f aca="false">IF(ISNUMBER(SEARCH(";"&amp;$A22&amp;";",";"&amp;SUBSTITUTE(INDEX(Services!$I$2:$I$27,MATCH(J$1,Services!$A$2:$A$27,0))," ","")&amp;";")),"●","")</f>
        <v/>
      </c>
      <c r="K22" s="22" t="str">
        <f aca="false">IF(ISNUMBER(SEARCH(";"&amp;$A22&amp;";",";"&amp;SUBSTITUTE(INDEX(Services!$I$2:$I$27,MATCH(K$1,Services!$A$2:$A$27,0))," ","")&amp;";")),"●","")</f>
        <v>●</v>
      </c>
      <c r="L22" s="22" t="str">
        <f aca="false">IF(ISNUMBER(SEARCH(";"&amp;$A22&amp;";",";"&amp;SUBSTITUTE(INDEX(Services!$I$2:$I$27,MATCH(L$1,Services!$A$2:$A$27,0))," ","")&amp;";")),"●","")</f>
        <v/>
      </c>
      <c r="M22" s="22" t="str">
        <f aca="false">IF(ISNUMBER(SEARCH(";"&amp;$A22&amp;";",";"&amp;SUBSTITUTE(INDEX(Services!$I$2:$I$27,MATCH(M$1,Services!$A$2:$A$27,0))," ","")&amp;";")),"●","")</f>
        <v/>
      </c>
      <c r="N22" s="22" t="str">
        <f aca="false">IF(ISNUMBER(SEARCH(";"&amp;$A22&amp;";",";"&amp;SUBSTITUTE(INDEX(Services!$I$2:$I$27,MATCH(N$1,Services!$A$2:$A$27,0))," ","")&amp;";")),"●","")</f>
        <v/>
      </c>
      <c r="O22" s="22" t="str">
        <f aca="false">IF(ISNUMBER(SEARCH(";"&amp;$A22&amp;";",";"&amp;SUBSTITUTE(INDEX(Services!$I$2:$I$27,MATCH(O$1,Services!$A$2:$A$27,0))," ","")&amp;";")),"●","")</f>
        <v/>
      </c>
      <c r="P22" s="22" t="str">
        <f aca="false">IF(ISNUMBER(SEARCH(";"&amp;$A22&amp;";",";"&amp;SUBSTITUTE(INDEX(Services!$I$2:$I$27,MATCH(P$1,Services!$A$2:$A$27,0))," ","")&amp;";")),"●","")</f>
        <v/>
      </c>
      <c r="Q22" s="22" t="str">
        <f aca="false">IF(ISNUMBER(SEARCH(";"&amp;$A22&amp;";",";"&amp;SUBSTITUTE(INDEX(Services!$I$2:$I$27,MATCH(Q$1,Services!$A$2:$A$27,0))," ","")&amp;";")),"●","")</f>
        <v/>
      </c>
      <c r="R22" s="22" t="str">
        <f aca="false">IF(ISNUMBER(SEARCH(";"&amp;$A22&amp;";",";"&amp;SUBSTITUTE(INDEX(Services!$I$2:$I$27,MATCH(R$1,Services!$A$2:$A$27,0))," ","")&amp;";")),"●","")</f>
        <v/>
      </c>
      <c r="S22" s="22" t="str">
        <f aca="false">IF(ISNUMBER(SEARCH(";"&amp;$A22&amp;";",";"&amp;SUBSTITUTE(INDEX(Services!$I$2:$I$27,MATCH(S$1,Services!$A$2:$A$27,0))," ","")&amp;";")),"●","")</f>
        <v/>
      </c>
      <c r="T22" s="22" t="str">
        <f aca="false">IF(ISNUMBER(SEARCH(";"&amp;$A22&amp;";",";"&amp;SUBSTITUTE(INDEX(Services!$I$2:$I$27,MATCH(T$1,Services!$A$2:$A$27,0))," ","")&amp;";")),"●","")</f>
        <v/>
      </c>
      <c r="U22" s="22" t="str">
        <f aca="false">IF(ISNUMBER(SEARCH(";"&amp;$A22&amp;";",";"&amp;SUBSTITUTE(INDEX(Services!$I$2:$I$27,MATCH(U$1,Services!$A$2:$A$27,0))," ","")&amp;";")),"●","")</f>
        <v/>
      </c>
      <c r="V22" s="22" t="str">
        <f aca="false">IF(ISNUMBER(SEARCH(";"&amp;$A22&amp;";",";"&amp;SUBSTITUTE(INDEX(Services!$I$2:$I$27,MATCH(V$1,Services!$A$2:$A$27,0))," ","")&amp;";")),"●","")</f>
        <v/>
      </c>
      <c r="W22" s="22" t="str">
        <f aca="false">IF(ISNUMBER(SEARCH(";"&amp;$A22&amp;";",";"&amp;SUBSTITUTE(INDEX(Services!$I$2:$I$27,MATCH(W$1,Services!$A$2:$A$27,0))," ","")&amp;";")),"●","")</f>
        <v/>
      </c>
      <c r="X22" s="22" t="str">
        <f aca="false">IF(ISNUMBER(SEARCH(";"&amp;$A22&amp;";",";"&amp;SUBSTITUTE(INDEX(Services!$I$2:$I$27,MATCH(X$1,Services!$A$2:$A$27,0))," ","")&amp;";")),"●","")</f>
        <v/>
      </c>
      <c r="Y22" s="22" t="str">
        <f aca="false">IF(ISNUMBER(SEARCH(";"&amp;$A22&amp;";",";"&amp;SUBSTITUTE(INDEX(Services!$I$2:$I$27,MATCH(Y$1,Services!$A$2:$A$27,0))," ","")&amp;";")),"●","")</f>
        <v/>
      </c>
      <c r="Z22" s="22" t="str">
        <f aca="false">IF(ISNUMBER(SEARCH(";"&amp;$A22&amp;";",";"&amp;SUBSTITUTE(INDEX(Services!$I$2:$I$27,MATCH(Z$1,Services!$A$2:$A$27,0))," ","")&amp;";")),"●","")</f>
        <v>●</v>
      </c>
      <c r="AA22" s="22" t="str">
        <f aca="false">IF(ISNUMBER(SEARCH(";"&amp;$A22&amp;";",";"&amp;SUBSTITUTE(INDEX(Services!$I$2:$I$27,MATCH(AA$1,Services!$A$2:$A$27,0))," ","")&amp;";")),"●","")</f>
        <v/>
      </c>
      <c r="AB22" s="22" t="str">
        <f aca="false">IF(ISNUMBER(SEARCH(";"&amp;$A22&amp;";",";"&amp;SUBSTITUTE(INDEX(Services!$I$2:$I$27,MATCH(AB$1,Services!$A$2:$A$27,0))," ","")&amp;";")),"●","")</f>
        <v/>
      </c>
      <c r="AC22" s="23" t="n">
        <f aca="false">COUNTIF(C22:AB22,"●")</f>
        <v>2</v>
      </c>
    </row>
    <row r="23" customFormat="false" ht="15" hidden="false" customHeight="false" outlineLevel="0" collapsed="false">
      <c r="A23" s="21" t="s">
        <v>331</v>
      </c>
      <c r="B23" s="21" t="s">
        <v>686</v>
      </c>
      <c r="C23" s="22" t="str">
        <f aca="false">IF(ISNUMBER(SEARCH(";"&amp;$A23&amp;";",";"&amp;SUBSTITUTE(INDEX(Services!$I$2:$I$27,MATCH(C$1,Services!$A$2:$A$27,0))," ","")&amp;";")),"●","")</f>
        <v/>
      </c>
      <c r="D23" s="22" t="str">
        <f aca="false">IF(ISNUMBER(SEARCH(";"&amp;$A23&amp;";",";"&amp;SUBSTITUTE(INDEX(Services!$I$2:$I$27,MATCH(D$1,Services!$A$2:$A$27,0))," ","")&amp;";")),"●","")</f>
        <v/>
      </c>
      <c r="E23" s="22" t="str">
        <f aca="false">IF(ISNUMBER(SEARCH(";"&amp;$A23&amp;";",";"&amp;SUBSTITUTE(INDEX(Services!$I$2:$I$27,MATCH(E$1,Services!$A$2:$A$27,0))," ","")&amp;";")),"●","")</f>
        <v/>
      </c>
      <c r="F23" s="22" t="str">
        <f aca="false">IF(ISNUMBER(SEARCH(";"&amp;$A23&amp;";",";"&amp;SUBSTITUTE(INDEX(Services!$I$2:$I$27,MATCH(F$1,Services!$A$2:$A$27,0))," ","")&amp;";")),"●","")</f>
        <v/>
      </c>
      <c r="G23" s="22" t="str">
        <f aca="false">IF(ISNUMBER(SEARCH(";"&amp;$A23&amp;";",";"&amp;SUBSTITUTE(INDEX(Services!$I$2:$I$27,MATCH(G$1,Services!$A$2:$A$27,0))," ","")&amp;";")),"●","")</f>
        <v/>
      </c>
      <c r="H23" s="22" t="str">
        <f aca="false">IF(ISNUMBER(SEARCH(";"&amp;$A23&amp;";",";"&amp;SUBSTITUTE(INDEX(Services!$I$2:$I$27,MATCH(H$1,Services!$A$2:$A$27,0))," ","")&amp;";")),"●","")</f>
        <v/>
      </c>
      <c r="I23" s="22" t="str">
        <f aca="false">IF(ISNUMBER(SEARCH(";"&amp;$A23&amp;";",";"&amp;SUBSTITUTE(INDEX(Services!$I$2:$I$27,MATCH(I$1,Services!$A$2:$A$27,0))," ","")&amp;";")),"●","")</f>
        <v/>
      </c>
      <c r="J23" s="22" t="str">
        <f aca="false">IF(ISNUMBER(SEARCH(";"&amp;$A23&amp;";",";"&amp;SUBSTITUTE(INDEX(Services!$I$2:$I$27,MATCH(J$1,Services!$A$2:$A$27,0))," ","")&amp;";")),"●","")</f>
        <v/>
      </c>
      <c r="K23" s="22" t="str">
        <f aca="false">IF(ISNUMBER(SEARCH(";"&amp;$A23&amp;";",";"&amp;SUBSTITUTE(INDEX(Services!$I$2:$I$27,MATCH(K$1,Services!$A$2:$A$27,0))," ","")&amp;";")),"●","")</f>
        <v/>
      </c>
      <c r="L23" s="22" t="str">
        <f aca="false">IF(ISNUMBER(SEARCH(";"&amp;$A23&amp;";",";"&amp;SUBSTITUTE(INDEX(Services!$I$2:$I$27,MATCH(L$1,Services!$A$2:$A$27,0))," ","")&amp;";")),"●","")</f>
        <v/>
      </c>
      <c r="M23" s="22" t="str">
        <f aca="false">IF(ISNUMBER(SEARCH(";"&amp;$A23&amp;";",";"&amp;SUBSTITUTE(INDEX(Services!$I$2:$I$27,MATCH(M$1,Services!$A$2:$A$27,0))," ","")&amp;";")),"●","")</f>
        <v/>
      </c>
      <c r="N23" s="22" t="str">
        <f aca="false">IF(ISNUMBER(SEARCH(";"&amp;$A23&amp;";",";"&amp;SUBSTITUTE(INDEX(Services!$I$2:$I$27,MATCH(N$1,Services!$A$2:$A$27,0))," ","")&amp;";")),"●","")</f>
        <v/>
      </c>
      <c r="O23" s="22" t="str">
        <f aca="false">IF(ISNUMBER(SEARCH(";"&amp;$A23&amp;";",";"&amp;SUBSTITUTE(INDEX(Services!$I$2:$I$27,MATCH(O$1,Services!$A$2:$A$27,0))," ","")&amp;";")),"●","")</f>
        <v/>
      </c>
      <c r="P23" s="22" t="str">
        <f aca="false">IF(ISNUMBER(SEARCH(";"&amp;$A23&amp;";",";"&amp;SUBSTITUTE(INDEX(Services!$I$2:$I$27,MATCH(P$1,Services!$A$2:$A$27,0))," ","")&amp;";")),"●","")</f>
        <v/>
      </c>
      <c r="Q23" s="22" t="str">
        <f aca="false">IF(ISNUMBER(SEARCH(";"&amp;$A23&amp;";",";"&amp;SUBSTITUTE(INDEX(Services!$I$2:$I$27,MATCH(Q$1,Services!$A$2:$A$27,0))," ","")&amp;";")),"●","")</f>
        <v/>
      </c>
      <c r="R23" s="22" t="str">
        <f aca="false">IF(ISNUMBER(SEARCH(";"&amp;$A23&amp;";",";"&amp;SUBSTITUTE(INDEX(Services!$I$2:$I$27,MATCH(R$1,Services!$A$2:$A$27,0))," ","")&amp;";")),"●","")</f>
        <v/>
      </c>
      <c r="S23" s="22" t="str">
        <f aca="false">IF(ISNUMBER(SEARCH(";"&amp;$A23&amp;";",";"&amp;SUBSTITUTE(INDEX(Services!$I$2:$I$27,MATCH(S$1,Services!$A$2:$A$27,0))," ","")&amp;";")),"●","")</f>
        <v/>
      </c>
      <c r="T23" s="22" t="str">
        <f aca="false">IF(ISNUMBER(SEARCH(";"&amp;$A23&amp;";",";"&amp;SUBSTITUTE(INDEX(Services!$I$2:$I$27,MATCH(T$1,Services!$A$2:$A$27,0))," ","")&amp;";")),"●","")</f>
        <v/>
      </c>
      <c r="U23" s="22" t="str">
        <f aca="false">IF(ISNUMBER(SEARCH(";"&amp;$A23&amp;";",";"&amp;SUBSTITUTE(INDEX(Services!$I$2:$I$27,MATCH(U$1,Services!$A$2:$A$27,0))," ","")&amp;";")),"●","")</f>
        <v/>
      </c>
      <c r="V23" s="22" t="str">
        <f aca="false">IF(ISNUMBER(SEARCH(";"&amp;$A23&amp;";",";"&amp;SUBSTITUTE(INDEX(Services!$I$2:$I$27,MATCH(V$1,Services!$A$2:$A$27,0))," ","")&amp;";")),"●","")</f>
        <v/>
      </c>
      <c r="W23" s="22" t="str">
        <f aca="false">IF(ISNUMBER(SEARCH(";"&amp;$A23&amp;";",";"&amp;SUBSTITUTE(INDEX(Services!$I$2:$I$27,MATCH(W$1,Services!$A$2:$A$27,0))," ","")&amp;";")),"●","")</f>
        <v/>
      </c>
      <c r="X23" s="22" t="str">
        <f aca="false">IF(ISNUMBER(SEARCH(";"&amp;$A23&amp;";",";"&amp;SUBSTITUTE(INDEX(Services!$I$2:$I$27,MATCH(X$1,Services!$A$2:$A$27,0))," ","")&amp;";")),"●","")</f>
        <v>●</v>
      </c>
      <c r="Y23" s="22" t="str">
        <f aca="false">IF(ISNUMBER(SEARCH(";"&amp;$A23&amp;";",";"&amp;SUBSTITUTE(INDEX(Services!$I$2:$I$27,MATCH(Y$1,Services!$A$2:$A$27,0))," ","")&amp;";")),"●","")</f>
        <v/>
      </c>
      <c r="Z23" s="22" t="str">
        <f aca="false">IF(ISNUMBER(SEARCH(";"&amp;$A23&amp;";",";"&amp;SUBSTITUTE(INDEX(Services!$I$2:$I$27,MATCH(Z$1,Services!$A$2:$A$27,0))," ","")&amp;";")),"●","")</f>
        <v/>
      </c>
      <c r="AA23" s="22" t="str">
        <f aca="false">IF(ISNUMBER(SEARCH(";"&amp;$A23&amp;";",";"&amp;SUBSTITUTE(INDEX(Services!$I$2:$I$27,MATCH(AA$1,Services!$A$2:$A$27,0))," ","")&amp;";")),"●","")</f>
        <v/>
      </c>
      <c r="AB23" s="22" t="str">
        <f aca="false">IF(ISNUMBER(SEARCH(";"&amp;$A23&amp;";",";"&amp;SUBSTITUTE(INDEX(Services!$I$2:$I$27,MATCH(AB$1,Services!$A$2:$A$27,0))," ","")&amp;";")),"●","")</f>
        <v/>
      </c>
      <c r="AC23" s="23" t="n">
        <f aca="false">COUNTIF(C23:AB23,"●")</f>
        <v>1</v>
      </c>
    </row>
    <row r="24" customFormat="false" ht="15" hidden="false" customHeight="false" outlineLevel="0" collapsed="false">
      <c r="A24" s="21" t="s">
        <v>341</v>
      </c>
      <c r="B24" s="21" t="s">
        <v>687</v>
      </c>
      <c r="C24" s="22" t="str">
        <f aca="false">IF(ISNUMBER(SEARCH(";"&amp;$A24&amp;";",";"&amp;SUBSTITUTE(INDEX(Services!$I$2:$I$27,MATCH(C$1,Services!$A$2:$A$27,0))," ","")&amp;";")),"●","")</f>
        <v/>
      </c>
      <c r="D24" s="22" t="str">
        <f aca="false">IF(ISNUMBER(SEARCH(";"&amp;$A24&amp;";",";"&amp;SUBSTITUTE(INDEX(Services!$I$2:$I$27,MATCH(D$1,Services!$A$2:$A$27,0))," ","")&amp;";")),"●","")</f>
        <v/>
      </c>
      <c r="E24" s="22" t="str">
        <f aca="false">IF(ISNUMBER(SEARCH(";"&amp;$A24&amp;";",";"&amp;SUBSTITUTE(INDEX(Services!$I$2:$I$27,MATCH(E$1,Services!$A$2:$A$27,0))," ","")&amp;";")),"●","")</f>
        <v/>
      </c>
      <c r="F24" s="22" t="str">
        <f aca="false">IF(ISNUMBER(SEARCH(";"&amp;$A24&amp;";",";"&amp;SUBSTITUTE(INDEX(Services!$I$2:$I$27,MATCH(F$1,Services!$A$2:$A$27,0))," ","")&amp;";")),"●","")</f>
        <v/>
      </c>
      <c r="G24" s="22" t="str">
        <f aca="false">IF(ISNUMBER(SEARCH(";"&amp;$A24&amp;";",";"&amp;SUBSTITUTE(INDEX(Services!$I$2:$I$27,MATCH(G$1,Services!$A$2:$A$27,0))," ","")&amp;";")),"●","")</f>
        <v/>
      </c>
      <c r="H24" s="22" t="str">
        <f aca="false">IF(ISNUMBER(SEARCH(";"&amp;$A24&amp;";",";"&amp;SUBSTITUTE(INDEX(Services!$I$2:$I$27,MATCH(H$1,Services!$A$2:$A$27,0))," ","")&amp;";")),"●","")</f>
        <v>●</v>
      </c>
      <c r="I24" s="22" t="str">
        <f aca="false">IF(ISNUMBER(SEARCH(";"&amp;$A24&amp;";",";"&amp;SUBSTITUTE(INDEX(Services!$I$2:$I$27,MATCH(I$1,Services!$A$2:$A$27,0))," ","")&amp;";")),"●","")</f>
        <v/>
      </c>
      <c r="J24" s="22" t="str">
        <f aca="false">IF(ISNUMBER(SEARCH(";"&amp;$A24&amp;";",";"&amp;SUBSTITUTE(INDEX(Services!$I$2:$I$27,MATCH(J$1,Services!$A$2:$A$27,0))," ","")&amp;";")),"●","")</f>
        <v/>
      </c>
      <c r="K24" s="22" t="str">
        <f aca="false">IF(ISNUMBER(SEARCH(";"&amp;$A24&amp;";",";"&amp;SUBSTITUTE(INDEX(Services!$I$2:$I$27,MATCH(K$1,Services!$A$2:$A$27,0))," ","")&amp;";")),"●","")</f>
        <v/>
      </c>
      <c r="L24" s="22" t="str">
        <f aca="false">IF(ISNUMBER(SEARCH(";"&amp;$A24&amp;";",";"&amp;SUBSTITUTE(INDEX(Services!$I$2:$I$27,MATCH(L$1,Services!$A$2:$A$27,0))," ","")&amp;";")),"●","")</f>
        <v/>
      </c>
      <c r="M24" s="22" t="str">
        <f aca="false">IF(ISNUMBER(SEARCH(";"&amp;$A24&amp;";",";"&amp;SUBSTITUTE(INDEX(Services!$I$2:$I$27,MATCH(M$1,Services!$A$2:$A$27,0))," ","")&amp;";")),"●","")</f>
        <v/>
      </c>
      <c r="N24" s="22" t="str">
        <f aca="false">IF(ISNUMBER(SEARCH(";"&amp;$A24&amp;";",";"&amp;SUBSTITUTE(INDEX(Services!$I$2:$I$27,MATCH(N$1,Services!$A$2:$A$27,0))," ","")&amp;";")),"●","")</f>
        <v/>
      </c>
      <c r="O24" s="22" t="str">
        <f aca="false">IF(ISNUMBER(SEARCH(";"&amp;$A24&amp;";",";"&amp;SUBSTITUTE(INDEX(Services!$I$2:$I$27,MATCH(O$1,Services!$A$2:$A$27,0))," ","")&amp;";")),"●","")</f>
        <v/>
      </c>
      <c r="P24" s="22" t="str">
        <f aca="false">IF(ISNUMBER(SEARCH(";"&amp;$A24&amp;";",";"&amp;SUBSTITUTE(INDEX(Services!$I$2:$I$27,MATCH(P$1,Services!$A$2:$A$27,0))," ","")&amp;";")),"●","")</f>
        <v/>
      </c>
      <c r="Q24" s="22" t="str">
        <f aca="false">IF(ISNUMBER(SEARCH(";"&amp;$A24&amp;";",";"&amp;SUBSTITUTE(INDEX(Services!$I$2:$I$27,MATCH(Q$1,Services!$A$2:$A$27,0))," ","")&amp;";")),"●","")</f>
        <v/>
      </c>
      <c r="R24" s="22" t="str">
        <f aca="false">IF(ISNUMBER(SEARCH(";"&amp;$A24&amp;";",";"&amp;SUBSTITUTE(INDEX(Services!$I$2:$I$27,MATCH(R$1,Services!$A$2:$A$27,0))," ","")&amp;";")),"●","")</f>
        <v/>
      </c>
      <c r="S24" s="22" t="str">
        <f aca="false">IF(ISNUMBER(SEARCH(";"&amp;$A24&amp;";",";"&amp;SUBSTITUTE(INDEX(Services!$I$2:$I$27,MATCH(S$1,Services!$A$2:$A$27,0))," ","")&amp;";")),"●","")</f>
        <v/>
      </c>
      <c r="T24" s="22" t="str">
        <f aca="false">IF(ISNUMBER(SEARCH(";"&amp;$A24&amp;";",";"&amp;SUBSTITUTE(INDEX(Services!$I$2:$I$27,MATCH(T$1,Services!$A$2:$A$27,0))," ","")&amp;";")),"●","")</f>
        <v/>
      </c>
      <c r="U24" s="22" t="str">
        <f aca="false">IF(ISNUMBER(SEARCH(";"&amp;$A24&amp;";",";"&amp;SUBSTITUTE(INDEX(Services!$I$2:$I$27,MATCH(U$1,Services!$A$2:$A$27,0))," ","")&amp;";")),"●","")</f>
        <v/>
      </c>
      <c r="V24" s="22" t="str">
        <f aca="false">IF(ISNUMBER(SEARCH(";"&amp;$A24&amp;";",";"&amp;SUBSTITUTE(INDEX(Services!$I$2:$I$27,MATCH(V$1,Services!$A$2:$A$27,0))," ","")&amp;";")),"●","")</f>
        <v/>
      </c>
      <c r="W24" s="22" t="str">
        <f aca="false">IF(ISNUMBER(SEARCH(";"&amp;$A24&amp;";",";"&amp;SUBSTITUTE(INDEX(Services!$I$2:$I$27,MATCH(W$1,Services!$A$2:$A$27,0))," ","")&amp;";")),"●","")</f>
        <v/>
      </c>
      <c r="X24" s="22" t="str">
        <f aca="false">IF(ISNUMBER(SEARCH(";"&amp;$A24&amp;";",";"&amp;SUBSTITUTE(INDEX(Services!$I$2:$I$27,MATCH(X$1,Services!$A$2:$A$27,0))," ","")&amp;";")),"●","")</f>
        <v/>
      </c>
      <c r="Y24" s="22" t="str">
        <f aca="false">IF(ISNUMBER(SEARCH(";"&amp;$A24&amp;";",";"&amp;SUBSTITUTE(INDEX(Services!$I$2:$I$27,MATCH(Y$1,Services!$A$2:$A$27,0))," ","")&amp;";")),"●","")</f>
        <v/>
      </c>
      <c r="Z24" s="22" t="str">
        <f aca="false">IF(ISNUMBER(SEARCH(";"&amp;$A24&amp;";",";"&amp;SUBSTITUTE(INDEX(Services!$I$2:$I$27,MATCH(Z$1,Services!$A$2:$A$27,0))," ","")&amp;";")),"●","")</f>
        <v/>
      </c>
      <c r="AA24" s="22" t="str">
        <f aca="false">IF(ISNUMBER(SEARCH(";"&amp;$A24&amp;";",";"&amp;SUBSTITUTE(INDEX(Services!$I$2:$I$27,MATCH(AA$1,Services!$A$2:$A$27,0))," ","")&amp;";")),"●","")</f>
        <v/>
      </c>
      <c r="AB24" s="22" t="str">
        <f aca="false">IF(ISNUMBER(SEARCH(";"&amp;$A24&amp;";",";"&amp;SUBSTITUTE(INDEX(Services!$I$2:$I$27,MATCH(AB$1,Services!$A$2:$A$27,0))," ","")&amp;";")),"●","")</f>
        <v/>
      </c>
      <c r="AC24" s="23" t="n">
        <f aca="false">COUNTIF(C24:AB24,"●")</f>
        <v>1</v>
      </c>
    </row>
    <row r="25" customFormat="false" ht="15" hidden="false" customHeight="false" outlineLevel="0" collapsed="false">
      <c r="A25" s="21" t="s">
        <v>351</v>
      </c>
      <c r="B25" s="21" t="s">
        <v>688</v>
      </c>
      <c r="C25" s="22" t="str">
        <f aca="false">IF(ISNUMBER(SEARCH(";"&amp;$A25&amp;";",";"&amp;SUBSTITUTE(INDEX(Services!$I$2:$I$27,MATCH(C$1,Services!$A$2:$A$27,0))," ","")&amp;";")),"●","")</f>
        <v/>
      </c>
      <c r="D25" s="22" t="str">
        <f aca="false">IF(ISNUMBER(SEARCH(";"&amp;$A25&amp;";",";"&amp;SUBSTITUTE(INDEX(Services!$I$2:$I$27,MATCH(D$1,Services!$A$2:$A$27,0))," ","")&amp;";")),"●","")</f>
        <v/>
      </c>
      <c r="E25" s="22" t="str">
        <f aca="false">IF(ISNUMBER(SEARCH(";"&amp;$A25&amp;";",";"&amp;SUBSTITUTE(INDEX(Services!$I$2:$I$27,MATCH(E$1,Services!$A$2:$A$27,0))," ","")&amp;";")),"●","")</f>
        <v/>
      </c>
      <c r="F25" s="22" t="str">
        <f aca="false">IF(ISNUMBER(SEARCH(";"&amp;$A25&amp;";",";"&amp;SUBSTITUTE(INDEX(Services!$I$2:$I$27,MATCH(F$1,Services!$A$2:$A$27,0))," ","")&amp;";")),"●","")</f>
        <v/>
      </c>
      <c r="G25" s="22" t="str">
        <f aca="false">IF(ISNUMBER(SEARCH(";"&amp;$A25&amp;";",";"&amp;SUBSTITUTE(INDEX(Services!$I$2:$I$27,MATCH(G$1,Services!$A$2:$A$27,0))," ","")&amp;";")),"●","")</f>
        <v/>
      </c>
      <c r="H25" s="22" t="str">
        <f aca="false">IF(ISNUMBER(SEARCH(";"&amp;$A25&amp;";",";"&amp;SUBSTITUTE(INDEX(Services!$I$2:$I$27,MATCH(H$1,Services!$A$2:$A$27,0))," ","")&amp;";")),"●","")</f>
        <v/>
      </c>
      <c r="I25" s="22" t="str">
        <f aca="false">IF(ISNUMBER(SEARCH(";"&amp;$A25&amp;";",";"&amp;SUBSTITUTE(INDEX(Services!$I$2:$I$27,MATCH(I$1,Services!$A$2:$A$27,0))," ","")&amp;";")),"●","")</f>
        <v/>
      </c>
      <c r="J25" s="22" t="str">
        <f aca="false">IF(ISNUMBER(SEARCH(";"&amp;$A25&amp;";",";"&amp;SUBSTITUTE(INDEX(Services!$I$2:$I$27,MATCH(J$1,Services!$A$2:$A$27,0))," ","")&amp;";")),"●","")</f>
        <v/>
      </c>
      <c r="K25" s="22" t="str">
        <f aca="false">IF(ISNUMBER(SEARCH(";"&amp;$A25&amp;";",";"&amp;SUBSTITUTE(INDEX(Services!$I$2:$I$27,MATCH(K$1,Services!$A$2:$A$27,0))," ","")&amp;";")),"●","")</f>
        <v>●</v>
      </c>
      <c r="L25" s="22" t="str">
        <f aca="false">IF(ISNUMBER(SEARCH(";"&amp;$A25&amp;";",";"&amp;SUBSTITUTE(INDEX(Services!$I$2:$I$27,MATCH(L$1,Services!$A$2:$A$27,0))," ","")&amp;";")),"●","")</f>
        <v>●</v>
      </c>
      <c r="M25" s="22" t="str">
        <f aca="false">IF(ISNUMBER(SEARCH(";"&amp;$A25&amp;";",";"&amp;SUBSTITUTE(INDEX(Services!$I$2:$I$27,MATCH(M$1,Services!$A$2:$A$27,0))," ","")&amp;";")),"●","")</f>
        <v/>
      </c>
      <c r="N25" s="22" t="str">
        <f aca="false">IF(ISNUMBER(SEARCH(";"&amp;$A25&amp;";",";"&amp;SUBSTITUTE(INDEX(Services!$I$2:$I$27,MATCH(N$1,Services!$A$2:$A$27,0))," ","")&amp;";")),"●","")</f>
        <v/>
      </c>
      <c r="O25" s="22" t="str">
        <f aca="false">IF(ISNUMBER(SEARCH(";"&amp;$A25&amp;";",";"&amp;SUBSTITUTE(INDEX(Services!$I$2:$I$27,MATCH(O$1,Services!$A$2:$A$27,0))," ","")&amp;";")),"●","")</f>
        <v/>
      </c>
      <c r="P25" s="22" t="str">
        <f aca="false">IF(ISNUMBER(SEARCH(";"&amp;$A25&amp;";",";"&amp;SUBSTITUTE(INDEX(Services!$I$2:$I$27,MATCH(P$1,Services!$A$2:$A$27,0))," ","")&amp;";")),"●","")</f>
        <v/>
      </c>
      <c r="Q25" s="22" t="str">
        <f aca="false">IF(ISNUMBER(SEARCH(";"&amp;$A25&amp;";",";"&amp;SUBSTITUTE(INDEX(Services!$I$2:$I$27,MATCH(Q$1,Services!$A$2:$A$27,0))," ","")&amp;";")),"●","")</f>
        <v>●</v>
      </c>
      <c r="R25" s="22" t="str">
        <f aca="false">IF(ISNUMBER(SEARCH(";"&amp;$A25&amp;";",";"&amp;SUBSTITUTE(INDEX(Services!$I$2:$I$27,MATCH(R$1,Services!$A$2:$A$27,0))," ","")&amp;";")),"●","")</f>
        <v/>
      </c>
      <c r="S25" s="22" t="str">
        <f aca="false">IF(ISNUMBER(SEARCH(";"&amp;$A25&amp;";",";"&amp;SUBSTITUTE(INDEX(Services!$I$2:$I$27,MATCH(S$1,Services!$A$2:$A$27,0))," ","")&amp;";")),"●","")</f>
        <v/>
      </c>
      <c r="T25" s="22" t="str">
        <f aca="false">IF(ISNUMBER(SEARCH(";"&amp;$A25&amp;";",";"&amp;SUBSTITUTE(INDEX(Services!$I$2:$I$27,MATCH(T$1,Services!$A$2:$A$27,0))," ","")&amp;";")),"●","")</f>
        <v/>
      </c>
      <c r="U25" s="22" t="str">
        <f aca="false">IF(ISNUMBER(SEARCH(";"&amp;$A25&amp;";",";"&amp;SUBSTITUTE(INDEX(Services!$I$2:$I$27,MATCH(U$1,Services!$A$2:$A$27,0))," ","")&amp;";")),"●","")</f>
        <v/>
      </c>
      <c r="V25" s="22" t="str">
        <f aca="false">IF(ISNUMBER(SEARCH(";"&amp;$A25&amp;";",";"&amp;SUBSTITUTE(INDEX(Services!$I$2:$I$27,MATCH(V$1,Services!$A$2:$A$27,0))," ","")&amp;";")),"●","")</f>
        <v/>
      </c>
      <c r="W25" s="22" t="str">
        <f aca="false">IF(ISNUMBER(SEARCH(";"&amp;$A25&amp;";",";"&amp;SUBSTITUTE(INDEX(Services!$I$2:$I$27,MATCH(W$1,Services!$A$2:$A$27,0))," ","")&amp;";")),"●","")</f>
        <v/>
      </c>
      <c r="X25" s="22" t="str">
        <f aca="false">IF(ISNUMBER(SEARCH(";"&amp;$A25&amp;";",";"&amp;SUBSTITUTE(INDEX(Services!$I$2:$I$27,MATCH(X$1,Services!$A$2:$A$27,0))," ","")&amp;";")),"●","")</f>
        <v/>
      </c>
      <c r="Y25" s="22" t="str">
        <f aca="false">IF(ISNUMBER(SEARCH(";"&amp;$A25&amp;";",";"&amp;SUBSTITUTE(INDEX(Services!$I$2:$I$27,MATCH(Y$1,Services!$A$2:$A$27,0))," ","")&amp;";")),"●","")</f>
        <v>●</v>
      </c>
      <c r="Z25" s="22" t="str">
        <f aca="false">IF(ISNUMBER(SEARCH(";"&amp;$A25&amp;";",";"&amp;SUBSTITUTE(INDEX(Services!$I$2:$I$27,MATCH(Z$1,Services!$A$2:$A$27,0))," ","")&amp;";")),"●","")</f>
        <v>●</v>
      </c>
      <c r="AA25" s="22" t="str">
        <f aca="false">IF(ISNUMBER(SEARCH(";"&amp;$A25&amp;";",";"&amp;SUBSTITUTE(INDEX(Services!$I$2:$I$27,MATCH(AA$1,Services!$A$2:$A$27,0))," ","")&amp;";")),"●","")</f>
        <v/>
      </c>
      <c r="AB25" s="22" t="str">
        <f aca="false">IF(ISNUMBER(SEARCH(";"&amp;$A25&amp;";",";"&amp;SUBSTITUTE(INDEX(Services!$I$2:$I$27,MATCH(AB$1,Services!$A$2:$A$27,0))," ","")&amp;";")),"●","")</f>
        <v/>
      </c>
      <c r="AC25" s="23" t="n">
        <f aca="false">COUNTIF(C25:AB25,"●")</f>
        <v>5</v>
      </c>
    </row>
    <row r="26" customFormat="false" ht="15" hidden="false" customHeight="false" outlineLevel="0" collapsed="false">
      <c r="A26" s="21" t="s">
        <v>363</v>
      </c>
      <c r="B26" s="21" t="s">
        <v>689</v>
      </c>
      <c r="C26" s="22" t="str">
        <f aca="false">IF(ISNUMBER(SEARCH(";"&amp;$A26&amp;";",";"&amp;SUBSTITUTE(INDEX(Services!$I$2:$I$27,MATCH(C$1,Services!$A$2:$A$27,0))," ","")&amp;";")),"●","")</f>
        <v/>
      </c>
      <c r="D26" s="22" t="str">
        <f aca="false">IF(ISNUMBER(SEARCH(";"&amp;$A26&amp;";",";"&amp;SUBSTITUTE(INDEX(Services!$I$2:$I$27,MATCH(D$1,Services!$A$2:$A$27,0))," ","")&amp;";")),"●","")</f>
        <v/>
      </c>
      <c r="E26" s="22" t="str">
        <f aca="false">IF(ISNUMBER(SEARCH(";"&amp;$A26&amp;";",";"&amp;SUBSTITUTE(INDEX(Services!$I$2:$I$27,MATCH(E$1,Services!$A$2:$A$27,0))," ","")&amp;";")),"●","")</f>
        <v/>
      </c>
      <c r="F26" s="22" t="str">
        <f aca="false">IF(ISNUMBER(SEARCH(";"&amp;$A26&amp;";",";"&amp;SUBSTITUTE(INDEX(Services!$I$2:$I$27,MATCH(F$1,Services!$A$2:$A$27,0))," ","")&amp;";")),"●","")</f>
        <v/>
      </c>
      <c r="G26" s="22" t="str">
        <f aca="false">IF(ISNUMBER(SEARCH(";"&amp;$A26&amp;";",";"&amp;SUBSTITUTE(INDEX(Services!$I$2:$I$27,MATCH(G$1,Services!$A$2:$A$27,0))," ","")&amp;";")),"●","")</f>
        <v/>
      </c>
      <c r="H26" s="22" t="str">
        <f aca="false">IF(ISNUMBER(SEARCH(";"&amp;$A26&amp;";",";"&amp;SUBSTITUTE(INDEX(Services!$I$2:$I$27,MATCH(H$1,Services!$A$2:$A$27,0))," ","")&amp;";")),"●","")</f>
        <v/>
      </c>
      <c r="I26" s="22" t="str">
        <f aca="false">IF(ISNUMBER(SEARCH(";"&amp;$A26&amp;";",";"&amp;SUBSTITUTE(INDEX(Services!$I$2:$I$27,MATCH(I$1,Services!$A$2:$A$27,0))," ","")&amp;";")),"●","")</f>
        <v/>
      </c>
      <c r="J26" s="22" t="str">
        <f aca="false">IF(ISNUMBER(SEARCH(";"&amp;$A26&amp;";",";"&amp;SUBSTITUTE(INDEX(Services!$I$2:$I$27,MATCH(J$1,Services!$A$2:$A$27,0))," ","")&amp;";")),"●","")</f>
        <v/>
      </c>
      <c r="K26" s="22" t="str">
        <f aca="false">IF(ISNUMBER(SEARCH(";"&amp;$A26&amp;";",";"&amp;SUBSTITUTE(INDEX(Services!$I$2:$I$27,MATCH(K$1,Services!$A$2:$A$27,0))," ","")&amp;";")),"●","")</f>
        <v/>
      </c>
      <c r="L26" s="22" t="str">
        <f aca="false">IF(ISNUMBER(SEARCH(";"&amp;$A26&amp;";",";"&amp;SUBSTITUTE(INDEX(Services!$I$2:$I$27,MATCH(L$1,Services!$A$2:$A$27,0))," ","")&amp;";")),"●","")</f>
        <v/>
      </c>
      <c r="M26" s="22" t="str">
        <f aca="false">IF(ISNUMBER(SEARCH(";"&amp;$A26&amp;";",";"&amp;SUBSTITUTE(INDEX(Services!$I$2:$I$27,MATCH(M$1,Services!$A$2:$A$27,0))," ","")&amp;";")),"●","")</f>
        <v/>
      </c>
      <c r="N26" s="22" t="str">
        <f aca="false">IF(ISNUMBER(SEARCH(";"&amp;$A26&amp;";",";"&amp;SUBSTITUTE(INDEX(Services!$I$2:$I$27,MATCH(N$1,Services!$A$2:$A$27,0))," ","")&amp;";")),"●","")</f>
        <v/>
      </c>
      <c r="O26" s="22" t="str">
        <f aca="false">IF(ISNUMBER(SEARCH(";"&amp;$A26&amp;";",";"&amp;SUBSTITUTE(INDEX(Services!$I$2:$I$27,MATCH(O$1,Services!$A$2:$A$27,0))," ","")&amp;";")),"●","")</f>
        <v/>
      </c>
      <c r="P26" s="22" t="str">
        <f aca="false">IF(ISNUMBER(SEARCH(";"&amp;$A26&amp;";",";"&amp;SUBSTITUTE(INDEX(Services!$I$2:$I$27,MATCH(P$1,Services!$A$2:$A$27,0))," ","")&amp;";")),"●","")</f>
        <v/>
      </c>
      <c r="Q26" s="22" t="str">
        <f aca="false">IF(ISNUMBER(SEARCH(";"&amp;$A26&amp;";",";"&amp;SUBSTITUTE(INDEX(Services!$I$2:$I$27,MATCH(Q$1,Services!$A$2:$A$27,0))," ","")&amp;";")),"●","")</f>
        <v>●</v>
      </c>
      <c r="R26" s="22" t="str">
        <f aca="false">IF(ISNUMBER(SEARCH(";"&amp;$A26&amp;";",";"&amp;SUBSTITUTE(INDEX(Services!$I$2:$I$27,MATCH(R$1,Services!$A$2:$A$27,0))," ","")&amp;";")),"●","")</f>
        <v/>
      </c>
      <c r="S26" s="22" t="str">
        <f aca="false">IF(ISNUMBER(SEARCH(";"&amp;$A26&amp;";",";"&amp;SUBSTITUTE(INDEX(Services!$I$2:$I$27,MATCH(S$1,Services!$A$2:$A$27,0))," ","")&amp;";")),"●","")</f>
        <v/>
      </c>
      <c r="T26" s="22" t="str">
        <f aca="false">IF(ISNUMBER(SEARCH(";"&amp;$A26&amp;";",";"&amp;SUBSTITUTE(INDEX(Services!$I$2:$I$27,MATCH(T$1,Services!$A$2:$A$27,0))," ","")&amp;";")),"●","")</f>
        <v/>
      </c>
      <c r="U26" s="22" t="str">
        <f aca="false">IF(ISNUMBER(SEARCH(";"&amp;$A26&amp;";",";"&amp;SUBSTITUTE(INDEX(Services!$I$2:$I$27,MATCH(U$1,Services!$A$2:$A$27,0))," ","")&amp;";")),"●","")</f>
        <v>●</v>
      </c>
      <c r="V26" s="22" t="str">
        <f aca="false">IF(ISNUMBER(SEARCH(";"&amp;$A26&amp;";",";"&amp;SUBSTITUTE(INDEX(Services!$I$2:$I$27,MATCH(V$1,Services!$A$2:$A$27,0))," ","")&amp;";")),"●","")</f>
        <v/>
      </c>
      <c r="W26" s="22" t="str">
        <f aca="false">IF(ISNUMBER(SEARCH(";"&amp;$A26&amp;";",";"&amp;SUBSTITUTE(INDEX(Services!$I$2:$I$27,MATCH(W$1,Services!$A$2:$A$27,0))," ","")&amp;";")),"●","")</f>
        <v/>
      </c>
      <c r="X26" s="22" t="str">
        <f aca="false">IF(ISNUMBER(SEARCH(";"&amp;$A26&amp;";",";"&amp;SUBSTITUTE(INDEX(Services!$I$2:$I$27,MATCH(X$1,Services!$A$2:$A$27,0))," ","")&amp;";")),"●","")</f>
        <v/>
      </c>
      <c r="Y26" s="22" t="str">
        <f aca="false">IF(ISNUMBER(SEARCH(";"&amp;$A26&amp;";",";"&amp;SUBSTITUTE(INDEX(Services!$I$2:$I$27,MATCH(Y$1,Services!$A$2:$A$27,0))," ","")&amp;";")),"●","")</f>
        <v/>
      </c>
      <c r="Z26" s="22" t="str">
        <f aca="false">IF(ISNUMBER(SEARCH(";"&amp;$A26&amp;";",";"&amp;SUBSTITUTE(INDEX(Services!$I$2:$I$27,MATCH(Z$1,Services!$A$2:$A$27,0))," ","")&amp;";")),"●","")</f>
        <v/>
      </c>
      <c r="AA26" s="22" t="str">
        <f aca="false">IF(ISNUMBER(SEARCH(";"&amp;$A26&amp;";",";"&amp;SUBSTITUTE(INDEX(Services!$I$2:$I$27,MATCH(AA$1,Services!$A$2:$A$27,0))," ","")&amp;";")),"●","")</f>
        <v/>
      </c>
      <c r="AB26" s="22" t="str">
        <f aca="false">IF(ISNUMBER(SEARCH(";"&amp;$A26&amp;";",";"&amp;SUBSTITUTE(INDEX(Services!$I$2:$I$27,MATCH(AB$1,Services!$A$2:$A$27,0))," ","")&amp;";")),"●","")</f>
        <v/>
      </c>
      <c r="AC26" s="23" t="n">
        <f aca="false">COUNTIF(C26:AB26,"●")</f>
        <v>2</v>
      </c>
    </row>
    <row r="27" customFormat="false" ht="15" hidden="false" customHeight="false" outlineLevel="0" collapsed="false">
      <c r="A27" s="21" t="s">
        <v>373</v>
      </c>
      <c r="B27" s="21" t="s">
        <v>690</v>
      </c>
      <c r="C27" s="22" t="str">
        <f aca="false">IF(ISNUMBER(SEARCH(";"&amp;$A27&amp;";",";"&amp;SUBSTITUTE(INDEX(Services!$I$2:$I$27,MATCH(C$1,Services!$A$2:$A$27,0))," ","")&amp;";")),"●","")</f>
        <v/>
      </c>
      <c r="D27" s="22" t="str">
        <f aca="false">IF(ISNUMBER(SEARCH(";"&amp;$A27&amp;";",";"&amp;SUBSTITUTE(INDEX(Services!$I$2:$I$27,MATCH(D$1,Services!$A$2:$A$27,0))," ","")&amp;";")),"●","")</f>
        <v/>
      </c>
      <c r="E27" s="22" t="str">
        <f aca="false">IF(ISNUMBER(SEARCH(";"&amp;$A27&amp;";",";"&amp;SUBSTITUTE(INDEX(Services!$I$2:$I$27,MATCH(E$1,Services!$A$2:$A$27,0))," ","")&amp;";")),"●","")</f>
        <v/>
      </c>
      <c r="F27" s="22" t="str">
        <f aca="false">IF(ISNUMBER(SEARCH(";"&amp;$A27&amp;";",";"&amp;SUBSTITUTE(INDEX(Services!$I$2:$I$27,MATCH(F$1,Services!$A$2:$A$27,0))," ","")&amp;";")),"●","")</f>
        <v/>
      </c>
      <c r="G27" s="22" t="str">
        <f aca="false">IF(ISNUMBER(SEARCH(";"&amp;$A27&amp;";",";"&amp;SUBSTITUTE(INDEX(Services!$I$2:$I$27,MATCH(G$1,Services!$A$2:$A$27,0))," ","")&amp;";")),"●","")</f>
        <v/>
      </c>
      <c r="H27" s="22" t="str">
        <f aca="false">IF(ISNUMBER(SEARCH(";"&amp;$A27&amp;";",";"&amp;SUBSTITUTE(INDEX(Services!$I$2:$I$27,MATCH(H$1,Services!$A$2:$A$27,0))," ","")&amp;";")),"●","")</f>
        <v/>
      </c>
      <c r="I27" s="22" t="str">
        <f aca="false">IF(ISNUMBER(SEARCH(";"&amp;$A27&amp;";",";"&amp;SUBSTITUTE(INDEX(Services!$I$2:$I$27,MATCH(I$1,Services!$A$2:$A$27,0))," ","")&amp;";")),"●","")</f>
        <v/>
      </c>
      <c r="J27" s="22" t="str">
        <f aca="false">IF(ISNUMBER(SEARCH(";"&amp;$A27&amp;";",";"&amp;SUBSTITUTE(INDEX(Services!$I$2:$I$27,MATCH(J$1,Services!$A$2:$A$27,0))," ","")&amp;";")),"●","")</f>
        <v/>
      </c>
      <c r="K27" s="22" t="str">
        <f aca="false">IF(ISNUMBER(SEARCH(";"&amp;$A27&amp;";",";"&amp;SUBSTITUTE(INDEX(Services!$I$2:$I$27,MATCH(K$1,Services!$A$2:$A$27,0))," ","")&amp;";")),"●","")</f>
        <v/>
      </c>
      <c r="L27" s="22" t="str">
        <f aca="false">IF(ISNUMBER(SEARCH(";"&amp;$A27&amp;";",";"&amp;SUBSTITUTE(INDEX(Services!$I$2:$I$27,MATCH(L$1,Services!$A$2:$A$27,0))," ","")&amp;";")),"●","")</f>
        <v/>
      </c>
      <c r="M27" s="22" t="str">
        <f aca="false">IF(ISNUMBER(SEARCH(";"&amp;$A27&amp;";",";"&amp;SUBSTITUTE(INDEX(Services!$I$2:$I$27,MATCH(M$1,Services!$A$2:$A$27,0))," ","")&amp;";")),"●","")</f>
        <v/>
      </c>
      <c r="N27" s="22" t="str">
        <f aca="false">IF(ISNUMBER(SEARCH(";"&amp;$A27&amp;";",";"&amp;SUBSTITUTE(INDEX(Services!$I$2:$I$27,MATCH(N$1,Services!$A$2:$A$27,0))," ","")&amp;";")),"●","")</f>
        <v>●</v>
      </c>
      <c r="O27" s="22" t="str">
        <f aca="false">IF(ISNUMBER(SEARCH(";"&amp;$A27&amp;";",";"&amp;SUBSTITUTE(INDEX(Services!$I$2:$I$27,MATCH(O$1,Services!$A$2:$A$27,0))," ","")&amp;";")),"●","")</f>
        <v>●</v>
      </c>
      <c r="P27" s="22" t="str">
        <f aca="false">IF(ISNUMBER(SEARCH(";"&amp;$A27&amp;";",";"&amp;SUBSTITUTE(INDEX(Services!$I$2:$I$27,MATCH(P$1,Services!$A$2:$A$27,0))," ","")&amp;";")),"●","")</f>
        <v/>
      </c>
      <c r="Q27" s="22" t="str">
        <f aca="false">IF(ISNUMBER(SEARCH(";"&amp;$A27&amp;";",";"&amp;SUBSTITUTE(INDEX(Services!$I$2:$I$27,MATCH(Q$1,Services!$A$2:$A$27,0))," ","")&amp;";")),"●","")</f>
        <v>●</v>
      </c>
      <c r="R27" s="22" t="str">
        <f aca="false">IF(ISNUMBER(SEARCH(";"&amp;$A27&amp;";",";"&amp;SUBSTITUTE(INDEX(Services!$I$2:$I$27,MATCH(R$1,Services!$A$2:$A$27,0))," ","")&amp;";")),"●","")</f>
        <v/>
      </c>
      <c r="S27" s="22" t="str">
        <f aca="false">IF(ISNUMBER(SEARCH(";"&amp;$A27&amp;";",";"&amp;SUBSTITUTE(INDEX(Services!$I$2:$I$27,MATCH(S$1,Services!$A$2:$A$27,0))," ","")&amp;";")),"●","")</f>
        <v/>
      </c>
      <c r="T27" s="22" t="str">
        <f aca="false">IF(ISNUMBER(SEARCH(";"&amp;$A27&amp;";",";"&amp;SUBSTITUTE(INDEX(Services!$I$2:$I$27,MATCH(T$1,Services!$A$2:$A$27,0))," ","")&amp;";")),"●","")</f>
        <v/>
      </c>
      <c r="U27" s="22" t="str">
        <f aca="false">IF(ISNUMBER(SEARCH(";"&amp;$A27&amp;";",";"&amp;SUBSTITUTE(INDEX(Services!$I$2:$I$27,MATCH(U$1,Services!$A$2:$A$27,0))," ","")&amp;";")),"●","")</f>
        <v/>
      </c>
      <c r="V27" s="22" t="str">
        <f aca="false">IF(ISNUMBER(SEARCH(";"&amp;$A27&amp;";",";"&amp;SUBSTITUTE(INDEX(Services!$I$2:$I$27,MATCH(V$1,Services!$A$2:$A$27,0))," ","")&amp;";")),"●","")</f>
        <v/>
      </c>
      <c r="W27" s="22" t="str">
        <f aca="false">IF(ISNUMBER(SEARCH(";"&amp;$A27&amp;";",";"&amp;SUBSTITUTE(INDEX(Services!$I$2:$I$27,MATCH(W$1,Services!$A$2:$A$27,0))," ","")&amp;";")),"●","")</f>
        <v/>
      </c>
      <c r="X27" s="22" t="str">
        <f aca="false">IF(ISNUMBER(SEARCH(";"&amp;$A27&amp;";",";"&amp;SUBSTITUTE(INDEX(Services!$I$2:$I$27,MATCH(X$1,Services!$A$2:$A$27,0))," ","")&amp;";")),"●","")</f>
        <v/>
      </c>
      <c r="Y27" s="22" t="str">
        <f aca="false">IF(ISNUMBER(SEARCH(";"&amp;$A27&amp;";",";"&amp;SUBSTITUTE(INDEX(Services!$I$2:$I$27,MATCH(Y$1,Services!$A$2:$A$27,0))," ","")&amp;";")),"●","")</f>
        <v/>
      </c>
      <c r="Z27" s="22" t="str">
        <f aca="false">IF(ISNUMBER(SEARCH(";"&amp;$A27&amp;";",";"&amp;SUBSTITUTE(INDEX(Services!$I$2:$I$27,MATCH(Z$1,Services!$A$2:$A$27,0))," ","")&amp;";")),"●","")</f>
        <v/>
      </c>
      <c r="AA27" s="22" t="str">
        <f aca="false">IF(ISNUMBER(SEARCH(";"&amp;$A27&amp;";",";"&amp;SUBSTITUTE(INDEX(Services!$I$2:$I$27,MATCH(AA$1,Services!$A$2:$A$27,0))," ","")&amp;";")),"●","")</f>
        <v/>
      </c>
      <c r="AB27" s="22" t="str">
        <f aca="false">IF(ISNUMBER(SEARCH(";"&amp;$A27&amp;";",";"&amp;SUBSTITUTE(INDEX(Services!$I$2:$I$27,MATCH(AB$1,Services!$A$2:$A$27,0))," ","")&amp;";")),"●","")</f>
        <v/>
      </c>
      <c r="AC27" s="23" t="n">
        <f aca="false">COUNTIF(C27:AB27,"●")</f>
        <v>3</v>
      </c>
    </row>
    <row r="28" customFormat="false" ht="15" hidden="false" customHeight="false" outlineLevel="0" collapsed="false">
      <c r="A28" s="21" t="s">
        <v>383</v>
      </c>
      <c r="B28" s="21" t="s">
        <v>691</v>
      </c>
      <c r="C28" s="22" t="str">
        <f aca="false">IF(ISNUMBER(SEARCH(";"&amp;$A28&amp;";",";"&amp;SUBSTITUTE(INDEX(Services!$I$2:$I$27,MATCH(C$1,Services!$A$2:$A$27,0))," ","")&amp;";")),"●","")</f>
        <v/>
      </c>
      <c r="D28" s="22" t="str">
        <f aca="false">IF(ISNUMBER(SEARCH(";"&amp;$A28&amp;";",";"&amp;SUBSTITUTE(INDEX(Services!$I$2:$I$27,MATCH(D$1,Services!$A$2:$A$27,0))," ","")&amp;";")),"●","")</f>
        <v/>
      </c>
      <c r="E28" s="22" t="str">
        <f aca="false">IF(ISNUMBER(SEARCH(";"&amp;$A28&amp;";",";"&amp;SUBSTITUTE(INDEX(Services!$I$2:$I$27,MATCH(E$1,Services!$A$2:$A$27,0))," ","")&amp;";")),"●","")</f>
        <v/>
      </c>
      <c r="F28" s="22" t="str">
        <f aca="false">IF(ISNUMBER(SEARCH(";"&amp;$A28&amp;";",";"&amp;SUBSTITUTE(INDEX(Services!$I$2:$I$27,MATCH(F$1,Services!$A$2:$A$27,0))," ","")&amp;";")),"●","")</f>
        <v/>
      </c>
      <c r="G28" s="22" t="str">
        <f aca="false">IF(ISNUMBER(SEARCH(";"&amp;$A28&amp;";",";"&amp;SUBSTITUTE(INDEX(Services!$I$2:$I$27,MATCH(G$1,Services!$A$2:$A$27,0))," ","")&amp;";")),"●","")</f>
        <v/>
      </c>
      <c r="H28" s="22" t="str">
        <f aca="false">IF(ISNUMBER(SEARCH(";"&amp;$A28&amp;";",";"&amp;SUBSTITUTE(INDEX(Services!$I$2:$I$27,MATCH(H$1,Services!$A$2:$A$27,0))," ","")&amp;";")),"●","")</f>
        <v/>
      </c>
      <c r="I28" s="22" t="str">
        <f aca="false">IF(ISNUMBER(SEARCH(";"&amp;$A28&amp;";",";"&amp;SUBSTITUTE(INDEX(Services!$I$2:$I$27,MATCH(I$1,Services!$A$2:$A$27,0))," ","")&amp;";")),"●","")</f>
        <v/>
      </c>
      <c r="J28" s="22" t="str">
        <f aca="false">IF(ISNUMBER(SEARCH(";"&amp;$A28&amp;";",";"&amp;SUBSTITUTE(INDEX(Services!$I$2:$I$27,MATCH(J$1,Services!$A$2:$A$27,0))," ","")&amp;";")),"●","")</f>
        <v/>
      </c>
      <c r="K28" s="22" t="str">
        <f aca="false">IF(ISNUMBER(SEARCH(";"&amp;$A28&amp;";",";"&amp;SUBSTITUTE(INDEX(Services!$I$2:$I$27,MATCH(K$1,Services!$A$2:$A$27,0))," ","")&amp;";")),"●","")</f>
        <v/>
      </c>
      <c r="L28" s="22" t="str">
        <f aca="false">IF(ISNUMBER(SEARCH(";"&amp;$A28&amp;";",";"&amp;SUBSTITUTE(INDEX(Services!$I$2:$I$27,MATCH(L$1,Services!$A$2:$A$27,0))," ","")&amp;";")),"●","")</f>
        <v/>
      </c>
      <c r="M28" s="22" t="str">
        <f aca="false">IF(ISNUMBER(SEARCH(";"&amp;$A28&amp;";",";"&amp;SUBSTITUTE(INDEX(Services!$I$2:$I$27,MATCH(M$1,Services!$A$2:$A$27,0))," ","")&amp;";")),"●","")</f>
        <v/>
      </c>
      <c r="N28" s="22" t="str">
        <f aca="false">IF(ISNUMBER(SEARCH(";"&amp;$A28&amp;";",";"&amp;SUBSTITUTE(INDEX(Services!$I$2:$I$27,MATCH(N$1,Services!$A$2:$A$27,0))," ","")&amp;";")),"●","")</f>
        <v/>
      </c>
      <c r="O28" s="22" t="str">
        <f aca="false">IF(ISNUMBER(SEARCH(";"&amp;$A28&amp;";",";"&amp;SUBSTITUTE(INDEX(Services!$I$2:$I$27,MATCH(O$1,Services!$A$2:$A$27,0))," ","")&amp;";")),"●","")</f>
        <v>●</v>
      </c>
      <c r="P28" s="22" t="str">
        <f aca="false">IF(ISNUMBER(SEARCH(";"&amp;$A28&amp;";",";"&amp;SUBSTITUTE(INDEX(Services!$I$2:$I$27,MATCH(P$1,Services!$A$2:$A$27,0))," ","")&amp;";")),"●","")</f>
        <v/>
      </c>
      <c r="Q28" s="22" t="str">
        <f aca="false">IF(ISNUMBER(SEARCH(";"&amp;$A28&amp;";",";"&amp;SUBSTITUTE(INDEX(Services!$I$2:$I$27,MATCH(Q$1,Services!$A$2:$A$27,0))," ","")&amp;";")),"●","")</f>
        <v/>
      </c>
      <c r="R28" s="22" t="str">
        <f aca="false">IF(ISNUMBER(SEARCH(";"&amp;$A28&amp;";",";"&amp;SUBSTITUTE(INDEX(Services!$I$2:$I$27,MATCH(R$1,Services!$A$2:$A$27,0))," ","")&amp;";")),"●","")</f>
        <v/>
      </c>
      <c r="S28" s="22" t="str">
        <f aca="false">IF(ISNUMBER(SEARCH(";"&amp;$A28&amp;";",";"&amp;SUBSTITUTE(INDEX(Services!$I$2:$I$27,MATCH(S$1,Services!$A$2:$A$27,0))," ","")&amp;";")),"●","")</f>
        <v/>
      </c>
      <c r="T28" s="22" t="str">
        <f aca="false">IF(ISNUMBER(SEARCH(";"&amp;$A28&amp;";",";"&amp;SUBSTITUTE(INDEX(Services!$I$2:$I$27,MATCH(T$1,Services!$A$2:$A$27,0))," ","")&amp;";")),"●","")</f>
        <v/>
      </c>
      <c r="U28" s="22" t="str">
        <f aca="false">IF(ISNUMBER(SEARCH(";"&amp;$A28&amp;";",";"&amp;SUBSTITUTE(INDEX(Services!$I$2:$I$27,MATCH(U$1,Services!$A$2:$A$27,0))," ","")&amp;";")),"●","")</f>
        <v/>
      </c>
      <c r="V28" s="22" t="str">
        <f aca="false">IF(ISNUMBER(SEARCH(";"&amp;$A28&amp;";",";"&amp;SUBSTITUTE(INDEX(Services!$I$2:$I$27,MATCH(V$1,Services!$A$2:$A$27,0))," ","")&amp;";")),"●","")</f>
        <v/>
      </c>
      <c r="W28" s="22" t="str">
        <f aca="false">IF(ISNUMBER(SEARCH(";"&amp;$A28&amp;";",";"&amp;SUBSTITUTE(INDEX(Services!$I$2:$I$27,MATCH(W$1,Services!$A$2:$A$27,0))," ","")&amp;";")),"●","")</f>
        <v/>
      </c>
      <c r="X28" s="22" t="str">
        <f aca="false">IF(ISNUMBER(SEARCH(";"&amp;$A28&amp;";",";"&amp;SUBSTITUTE(INDEX(Services!$I$2:$I$27,MATCH(X$1,Services!$A$2:$A$27,0))," ","")&amp;";")),"●","")</f>
        <v/>
      </c>
      <c r="Y28" s="22" t="str">
        <f aca="false">IF(ISNUMBER(SEARCH(";"&amp;$A28&amp;";",";"&amp;SUBSTITUTE(INDEX(Services!$I$2:$I$27,MATCH(Y$1,Services!$A$2:$A$27,0))," ","")&amp;";")),"●","")</f>
        <v/>
      </c>
      <c r="Z28" s="22" t="str">
        <f aca="false">IF(ISNUMBER(SEARCH(";"&amp;$A28&amp;";",";"&amp;SUBSTITUTE(INDEX(Services!$I$2:$I$27,MATCH(Z$1,Services!$A$2:$A$27,0))," ","")&amp;";")),"●","")</f>
        <v/>
      </c>
      <c r="AA28" s="22" t="str">
        <f aca="false">IF(ISNUMBER(SEARCH(";"&amp;$A28&amp;";",";"&amp;SUBSTITUTE(INDEX(Services!$I$2:$I$27,MATCH(AA$1,Services!$A$2:$A$27,0))," ","")&amp;";")),"●","")</f>
        <v/>
      </c>
      <c r="AB28" s="22" t="str">
        <f aca="false">IF(ISNUMBER(SEARCH(";"&amp;$A28&amp;";",";"&amp;SUBSTITUTE(INDEX(Services!$I$2:$I$27,MATCH(AB$1,Services!$A$2:$A$27,0))," ","")&amp;";")),"●","")</f>
        <v>●</v>
      </c>
      <c r="AC28" s="23" t="n">
        <f aca="false">COUNTIF(C28:AB28,"●")</f>
        <v>2</v>
      </c>
    </row>
    <row r="29" customFormat="false" ht="15" hidden="false" customHeight="false" outlineLevel="0" collapsed="false">
      <c r="B29" s="24" t="s">
        <v>692</v>
      </c>
      <c r="C29" s="25" t="n">
        <f aca="false">COUNTIF(C3:C28,"●")</f>
        <v>3</v>
      </c>
      <c r="D29" s="25" t="n">
        <f aca="false">COUNTIF(D3:D28,"●")</f>
        <v>2</v>
      </c>
      <c r="E29" s="25" t="n">
        <f aca="false">COUNTIF(E3:E28,"●")</f>
        <v>1</v>
      </c>
      <c r="F29" s="25" t="n">
        <f aca="false">COUNTIF(F3:F28,"●")</f>
        <v>1</v>
      </c>
      <c r="G29" s="25" t="n">
        <f aca="false">COUNTIF(G3:G28,"●")</f>
        <v>2</v>
      </c>
      <c r="H29" s="25" t="n">
        <f aca="false">COUNTIF(H3:H28,"●")</f>
        <v>2</v>
      </c>
      <c r="I29" s="25" t="n">
        <f aca="false">COUNTIF(I3:I28,"●")</f>
        <v>2</v>
      </c>
      <c r="J29" s="25" t="n">
        <f aca="false">COUNTIF(J3:J28,"●")</f>
        <v>2</v>
      </c>
      <c r="K29" s="25" t="n">
        <f aca="false">COUNTIF(K3:K28,"●")</f>
        <v>7</v>
      </c>
      <c r="L29" s="25" t="n">
        <f aca="false">COUNTIF(L3:L28,"●")</f>
        <v>2</v>
      </c>
      <c r="M29" s="25" t="n">
        <f aca="false">COUNTIF(M3:M28,"●")</f>
        <v>1</v>
      </c>
      <c r="N29" s="25" t="n">
        <f aca="false">COUNTIF(N3:N28,"●")</f>
        <v>1</v>
      </c>
      <c r="O29" s="25" t="n">
        <f aca="false">COUNTIF(O3:O28,"●")</f>
        <v>2</v>
      </c>
      <c r="P29" s="25" t="n">
        <f aca="false">COUNTIF(P3:P28,"●")</f>
        <v>2</v>
      </c>
      <c r="Q29" s="25" t="n">
        <f aca="false">COUNTIF(Q3:Q28,"●")</f>
        <v>5</v>
      </c>
      <c r="R29" s="25" t="n">
        <f aca="false">COUNTIF(R3:R28,"●")</f>
        <v>5</v>
      </c>
      <c r="S29" s="25" t="n">
        <f aca="false">COUNTIF(S3:S28,"●")</f>
        <v>6</v>
      </c>
      <c r="T29" s="25" t="n">
        <f aca="false">COUNTIF(T3:T28,"●")</f>
        <v>1</v>
      </c>
      <c r="U29" s="25" t="n">
        <f aca="false">COUNTIF(U3:U28,"●")</f>
        <v>3</v>
      </c>
      <c r="V29" s="25" t="n">
        <f aca="false">COUNTIF(V3:V28,"●")</f>
        <v>1</v>
      </c>
      <c r="W29" s="25" t="n">
        <f aca="false">COUNTIF(W3:W28,"●")</f>
        <v>1</v>
      </c>
      <c r="X29" s="25" t="n">
        <f aca="false">COUNTIF(X3:X28,"●")</f>
        <v>1</v>
      </c>
      <c r="Y29" s="25" t="n">
        <f aca="false">COUNTIF(Y3:Y28,"●")</f>
        <v>1</v>
      </c>
      <c r="Z29" s="25" t="n">
        <f aca="false">COUNTIF(Z3:Z28,"●")</f>
        <v>3</v>
      </c>
      <c r="AA29" s="25" t="n">
        <f aca="false">COUNTIF(AA3:AA28,"●")</f>
        <v>1</v>
      </c>
      <c r="AB29" s="25" t="n">
        <f aca="false">COUNTIF(AB3:AB28,"●")</f>
        <v>1</v>
      </c>
      <c r="AC29" s="25" t="n">
        <f aca="false">SUM(AC3:AC28)</f>
        <v>59</v>
      </c>
    </row>
  </sheetData>
  <conditionalFormatting sqref="AC3:AC28">
    <cfRule type="cellIs" priority="2" operator="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9" t="s">
        <v>53</v>
      </c>
      <c r="B1" s="9" t="s">
        <v>693</v>
      </c>
      <c r="C1" s="9" t="s">
        <v>694</v>
      </c>
      <c r="D1" s="9" t="s">
        <v>695</v>
      </c>
      <c r="E1" s="9" t="s">
        <v>696</v>
      </c>
      <c r="F1" s="9" t="s">
        <v>697</v>
      </c>
      <c r="G1" s="9" t="s">
        <v>698</v>
      </c>
      <c r="H1" s="9" t="s">
        <v>699</v>
      </c>
      <c r="I1" s="9" t="s">
        <v>700</v>
      </c>
      <c r="J1" s="9" t="s">
        <v>701</v>
      </c>
    </row>
    <row r="2" customFormat="false" ht="23.85" hidden="false" customHeight="false" outlineLevel="0" collapsed="false">
      <c r="A2" s="15" t="s">
        <v>702</v>
      </c>
      <c r="B2" s="15" t="s">
        <v>703</v>
      </c>
      <c r="C2" s="15" t="s">
        <v>704</v>
      </c>
      <c r="D2" s="15" t="s">
        <v>705</v>
      </c>
      <c r="E2" s="15" t="s">
        <v>85</v>
      </c>
      <c r="F2" s="15" t="s">
        <v>411</v>
      </c>
      <c r="G2" s="12" t="n">
        <f aca="false">COUNTIF(Processes!$L$2:$L$34,"*"&amp;A2&amp;"*")</f>
        <v>3</v>
      </c>
      <c r="H2" s="12" t="n">
        <f aca="false">COUNTIFS(Processes!$L$2:$L$34,"*"&amp;A2&amp;"*",Processes!$T$2:$T$34,"In model")</f>
        <v>1</v>
      </c>
      <c r="I2" s="26" t="str">
        <f aca="false">IF(F2&lt;&gt;"Sales","Owned by "&amp;F2,IF(H2&gt;0,"Covered in model",IF(G2&gt;0,"Covered by proposal","Value gap")))</f>
        <v>Covered in model</v>
      </c>
      <c r="J2" s="15"/>
    </row>
    <row r="3" customFormat="false" ht="23.85" hidden="false" customHeight="false" outlineLevel="0" collapsed="false">
      <c r="A3" s="15" t="s">
        <v>706</v>
      </c>
      <c r="B3" s="15" t="s">
        <v>703</v>
      </c>
      <c r="C3" s="15" t="s">
        <v>704</v>
      </c>
      <c r="D3" s="15" t="s">
        <v>707</v>
      </c>
      <c r="E3" s="15" t="s">
        <v>92</v>
      </c>
      <c r="F3" s="15" t="s">
        <v>411</v>
      </c>
      <c r="G3" s="12" t="n">
        <f aca="false">COUNTIF(Processes!$L$2:$L$34,"*"&amp;A3&amp;"*")</f>
        <v>1</v>
      </c>
      <c r="H3" s="12" t="n">
        <f aca="false">COUNTIFS(Processes!$L$2:$L$34,"*"&amp;A3&amp;"*",Processes!$T$2:$T$34,"In model")</f>
        <v>1</v>
      </c>
      <c r="I3" s="26" t="str">
        <f aca="false">IF(F3&lt;&gt;"Sales","Owned by "&amp;F3,IF(H3&gt;0,"Covered in model",IF(G3&gt;0,"Covered by proposal","Value gap")))</f>
        <v>Covered in model</v>
      </c>
      <c r="J3" s="15"/>
    </row>
    <row r="4" customFormat="false" ht="23.85" hidden="false" customHeight="false" outlineLevel="0" collapsed="false">
      <c r="A4" s="15" t="s">
        <v>708</v>
      </c>
      <c r="B4" s="15" t="s">
        <v>703</v>
      </c>
      <c r="C4" s="15" t="s">
        <v>704</v>
      </c>
      <c r="D4" s="15" t="s">
        <v>709</v>
      </c>
      <c r="E4" s="15" t="s">
        <v>97</v>
      </c>
      <c r="F4" s="15" t="s">
        <v>411</v>
      </c>
      <c r="G4" s="12" t="n">
        <f aca="false">COUNTIF(Processes!$L$2:$L$34,"*"&amp;A4&amp;"*")</f>
        <v>1</v>
      </c>
      <c r="H4" s="12" t="n">
        <f aca="false">COUNTIFS(Processes!$L$2:$L$34,"*"&amp;A4&amp;"*",Processes!$T$2:$T$34,"In model")</f>
        <v>0</v>
      </c>
      <c r="I4" s="26" t="str">
        <f aca="false">IF(F4&lt;&gt;"Sales","Owned by "&amp;F4,IF(H4&gt;0,"Covered in model",IF(G4&gt;0,"Covered by proposal","Value gap")))</f>
        <v>Covered by proposal</v>
      </c>
      <c r="J4" s="15"/>
    </row>
    <row r="5" customFormat="false" ht="23.85" hidden="false" customHeight="false" outlineLevel="0" collapsed="false">
      <c r="A5" s="15" t="s">
        <v>710</v>
      </c>
      <c r="B5" s="15" t="s">
        <v>703</v>
      </c>
      <c r="C5" s="15" t="s">
        <v>704</v>
      </c>
      <c r="D5" s="15" t="s">
        <v>711</v>
      </c>
      <c r="E5" s="15" t="s">
        <v>102</v>
      </c>
      <c r="F5" s="15" t="s">
        <v>411</v>
      </c>
      <c r="G5" s="12" t="n">
        <f aca="false">COUNTIF(Processes!$L$2:$L$34,"*"&amp;A5&amp;"*")</f>
        <v>2</v>
      </c>
      <c r="H5" s="12" t="n">
        <f aca="false">COUNTIFS(Processes!$L$2:$L$34,"*"&amp;A5&amp;"*",Processes!$T$2:$T$34,"In model")</f>
        <v>0</v>
      </c>
      <c r="I5" s="26" t="str">
        <f aca="false">IF(F5&lt;&gt;"Sales","Owned by "&amp;F5,IF(H5&gt;0,"Covered in model",IF(G5&gt;0,"Covered by proposal","Value gap")))</f>
        <v>Covered by proposal</v>
      </c>
      <c r="J5" s="15"/>
    </row>
    <row r="6" customFormat="false" ht="23.85" hidden="false" customHeight="false" outlineLevel="0" collapsed="false">
      <c r="A6" s="15" t="s">
        <v>356</v>
      </c>
      <c r="B6" s="15" t="s">
        <v>703</v>
      </c>
      <c r="C6" s="15" t="s">
        <v>704</v>
      </c>
      <c r="D6" s="15" t="s">
        <v>712</v>
      </c>
      <c r="E6" s="15" t="s">
        <v>107</v>
      </c>
      <c r="F6" s="15" t="s">
        <v>411</v>
      </c>
      <c r="G6" s="12" t="n">
        <f aca="false">COUNTIF(Processes!$L$2:$L$34,"*"&amp;A6&amp;"*")</f>
        <v>2</v>
      </c>
      <c r="H6" s="12" t="n">
        <f aca="false">COUNTIFS(Processes!$L$2:$L$34,"*"&amp;A6&amp;"*",Processes!$T$2:$T$34,"In model")</f>
        <v>0</v>
      </c>
      <c r="I6" s="26" t="str">
        <f aca="false">IF(F6&lt;&gt;"Sales","Owned by "&amp;F6,IF(H6&gt;0,"Covered in model",IF(G6&gt;0,"Covered by proposal","Value gap")))</f>
        <v>Covered by proposal</v>
      </c>
      <c r="J6" s="15"/>
    </row>
    <row r="7" customFormat="false" ht="35.05" hidden="false" customHeight="false" outlineLevel="0" collapsed="false">
      <c r="A7" s="15" t="s">
        <v>713</v>
      </c>
      <c r="B7" s="15" t="s">
        <v>703</v>
      </c>
      <c r="C7" s="15" t="s">
        <v>704</v>
      </c>
      <c r="D7" s="15" t="s">
        <v>714</v>
      </c>
      <c r="E7" s="15" t="s">
        <v>112</v>
      </c>
      <c r="F7" s="15" t="s">
        <v>657</v>
      </c>
      <c r="G7" s="12" t="n">
        <f aca="false">COUNTIF(Processes!$L$2:$L$34,"*"&amp;A7&amp;"*")</f>
        <v>0</v>
      </c>
      <c r="H7" s="12" t="n">
        <f aca="false">COUNTIFS(Processes!$L$2:$L$34,"*"&amp;A7&amp;"*",Processes!$T$2:$T$34,"In model")</f>
        <v>0</v>
      </c>
      <c r="I7" s="26" t="str">
        <f aca="false">IF(F7&lt;&gt;"Sales","Owned by "&amp;F7,IF(H7&gt;0,"Covered in model",IF(G7&gt;0,"Covered by proposal","Value gap")))</f>
        <v>Owned by Customer success</v>
      </c>
      <c r="J7" s="15" t="s">
        <v>715</v>
      </c>
    </row>
    <row r="8" customFormat="false" ht="15" hidden="false" customHeight="false" outlineLevel="0" collapsed="false">
      <c r="A8" s="15" t="s">
        <v>716</v>
      </c>
      <c r="B8" s="15" t="s">
        <v>703</v>
      </c>
      <c r="C8" s="15" t="s">
        <v>717</v>
      </c>
      <c r="D8" s="15" t="s">
        <v>718</v>
      </c>
      <c r="E8" s="15" t="s">
        <v>97</v>
      </c>
      <c r="F8" s="15" t="s">
        <v>411</v>
      </c>
      <c r="G8" s="12" t="n">
        <f aca="false">COUNTIF(Processes!$L$2:$L$34,"*"&amp;A8&amp;"*")</f>
        <v>1</v>
      </c>
      <c r="H8" s="12" t="n">
        <f aca="false">COUNTIFS(Processes!$L$2:$L$34,"*"&amp;A8&amp;"*",Processes!$T$2:$T$34,"In model")</f>
        <v>0</v>
      </c>
      <c r="I8" s="26" t="str">
        <f aca="false">IF(F8&lt;&gt;"Sales","Owned by "&amp;F8,IF(H8&gt;0,"Covered in model",IF(G8&gt;0,"Covered by proposal","Value gap")))</f>
        <v>Covered by proposal</v>
      </c>
      <c r="J8" s="15"/>
    </row>
    <row r="9" customFormat="false" ht="15" hidden="false" customHeight="false" outlineLevel="0" collapsed="false">
      <c r="A9" s="15" t="s">
        <v>719</v>
      </c>
      <c r="B9" s="15" t="s">
        <v>703</v>
      </c>
      <c r="C9" s="15" t="s">
        <v>717</v>
      </c>
      <c r="D9" s="15" t="s">
        <v>720</v>
      </c>
      <c r="E9" s="15" t="s">
        <v>97</v>
      </c>
      <c r="F9" s="15" t="s">
        <v>411</v>
      </c>
      <c r="G9" s="12" t="n">
        <f aca="false">COUNTIF(Processes!$L$2:$L$34,"*"&amp;A9&amp;"*")</f>
        <v>1</v>
      </c>
      <c r="H9" s="12" t="n">
        <f aca="false">COUNTIFS(Processes!$L$2:$L$34,"*"&amp;A9&amp;"*",Processes!$T$2:$T$34,"In model")</f>
        <v>0</v>
      </c>
      <c r="I9" s="26" t="str">
        <f aca="false">IF(F9&lt;&gt;"Sales","Owned by "&amp;F9,IF(H9&gt;0,"Covered in model",IF(G9&gt;0,"Covered by proposal","Value gap")))</f>
        <v>Covered by proposal</v>
      </c>
      <c r="J9" s="15"/>
    </row>
    <row r="10" customFormat="false" ht="15" hidden="false" customHeight="false" outlineLevel="0" collapsed="false">
      <c r="A10" s="15" t="s">
        <v>721</v>
      </c>
      <c r="B10" s="15" t="s">
        <v>703</v>
      </c>
      <c r="C10" s="15" t="s">
        <v>717</v>
      </c>
      <c r="D10" s="15" t="s">
        <v>722</v>
      </c>
      <c r="E10" s="15" t="s">
        <v>97</v>
      </c>
      <c r="F10" s="15" t="s">
        <v>411</v>
      </c>
      <c r="G10" s="12" t="n">
        <f aca="false">COUNTIF(Processes!$L$2:$L$34,"*"&amp;A10&amp;"*")</f>
        <v>1</v>
      </c>
      <c r="H10" s="12" t="n">
        <f aca="false">COUNTIFS(Processes!$L$2:$L$34,"*"&amp;A10&amp;"*",Processes!$T$2:$T$34,"In model")</f>
        <v>0</v>
      </c>
      <c r="I10" s="26" t="str">
        <f aca="false">IF(F10&lt;&gt;"Sales","Owned by "&amp;F10,IF(H10&gt;0,"Covered in model",IF(G10&gt;0,"Covered by proposal","Value gap")))</f>
        <v>Covered by proposal</v>
      </c>
      <c r="J10" s="15"/>
    </row>
    <row r="11" customFormat="false" ht="35.05" hidden="false" customHeight="false" outlineLevel="0" collapsed="false">
      <c r="A11" s="15" t="s">
        <v>723</v>
      </c>
      <c r="B11" s="15" t="s">
        <v>703</v>
      </c>
      <c r="C11" s="15" t="s">
        <v>717</v>
      </c>
      <c r="D11" s="15" t="s">
        <v>724</v>
      </c>
      <c r="E11" s="15" t="s">
        <v>112</v>
      </c>
      <c r="F11" s="15" t="s">
        <v>657</v>
      </c>
      <c r="G11" s="12" t="n">
        <f aca="false">COUNTIF(Processes!$L$2:$L$34,"*"&amp;A11&amp;"*")</f>
        <v>0</v>
      </c>
      <c r="H11" s="12" t="n">
        <f aca="false">COUNTIFS(Processes!$L$2:$L$34,"*"&amp;A11&amp;"*",Processes!$T$2:$T$34,"In model")</f>
        <v>0</v>
      </c>
      <c r="I11" s="26" t="str">
        <f aca="false">IF(F11&lt;&gt;"Sales","Owned by "&amp;F11,IF(H11&gt;0,"Covered in model",IF(G11&gt;0,"Covered by proposal","Value gap")))</f>
        <v>Owned by Customer success</v>
      </c>
      <c r="J11" s="15" t="s">
        <v>715</v>
      </c>
    </row>
    <row r="12" customFormat="false" ht="15" hidden="false" customHeight="false" outlineLevel="0" collapsed="false">
      <c r="A12" s="15" t="s">
        <v>725</v>
      </c>
      <c r="B12" s="15" t="s">
        <v>703</v>
      </c>
      <c r="C12" s="15" t="s">
        <v>726</v>
      </c>
      <c r="D12" s="15" t="s">
        <v>727</v>
      </c>
      <c r="E12" s="15" t="s">
        <v>92</v>
      </c>
      <c r="F12" s="15" t="s">
        <v>411</v>
      </c>
      <c r="G12" s="12" t="n">
        <f aca="false">COUNTIF(Processes!$L$2:$L$34,"*"&amp;A12&amp;"*")</f>
        <v>1</v>
      </c>
      <c r="H12" s="12" t="n">
        <f aca="false">COUNTIFS(Processes!$L$2:$L$34,"*"&amp;A12&amp;"*",Processes!$T$2:$T$34,"In model")</f>
        <v>0</v>
      </c>
      <c r="I12" s="26" t="str">
        <f aca="false">IF(F12&lt;&gt;"Sales","Owned by "&amp;F12,IF(H12&gt;0,"Covered in model",IF(G12&gt;0,"Covered by proposal","Value gap")))</f>
        <v>Covered by proposal</v>
      </c>
      <c r="J12" s="15"/>
    </row>
    <row r="13" customFormat="false" ht="15" hidden="false" customHeight="false" outlineLevel="0" collapsed="false">
      <c r="A13" s="15" t="s">
        <v>728</v>
      </c>
      <c r="B13" s="15" t="s">
        <v>703</v>
      </c>
      <c r="C13" s="15" t="s">
        <v>726</v>
      </c>
      <c r="D13" s="15" t="s">
        <v>729</v>
      </c>
      <c r="E13" s="15" t="s">
        <v>102</v>
      </c>
      <c r="F13" s="15" t="s">
        <v>411</v>
      </c>
      <c r="G13" s="12" t="n">
        <f aca="false">COUNTIF(Processes!$L$2:$L$34,"*"&amp;A13&amp;"*")</f>
        <v>2</v>
      </c>
      <c r="H13" s="12" t="n">
        <f aca="false">COUNTIFS(Processes!$L$2:$L$34,"*"&amp;A13&amp;"*",Processes!$T$2:$T$34,"In model")</f>
        <v>0</v>
      </c>
      <c r="I13" s="26" t="str">
        <f aca="false">IF(F13&lt;&gt;"Sales","Owned by "&amp;F13,IF(H13&gt;0,"Covered in model",IF(G13&gt;0,"Covered by proposal","Value gap")))</f>
        <v>Covered by proposal</v>
      </c>
      <c r="J13" s="15"/>
    </row>
    <row r="14" customFormat="false" ht="35.05" hidden="false" customHeight="false" outlineLevel="0" collapsed="false">
      <c r="A14" s="15" t="s">
        <v>730</v>
      </c>
      <c r="B14" s="15" t="s">
        <v>703</v>
      </c>
      <c r="C14" s="15" t="s">
        <v>726</v>
      </c>
      <c r="D14" s="15" t="s">
        <v>731</v>
      </c>
      <c r="E14" s="15" t="s">
        <v>112</v>
      </c>
      <c r="F14" s="15" t="s">
        <v>657</v>
      </c>
      <c r="G14" s="12" t="n">
        <f aca="false">COUNTIF(Processes!$L$2:$L$34,"*"&amp;A14&amp;"*")</f>
        <v>0</v>
      </c>
      <c r="H14" s="12" t="n">
        <f aca="false">COUNTIFS(Processes!$L$2:$L$34,"*"&amp;A14&amp;"*",Processes!$T$2:$T$34,"In model")</f>
        <v>0</v>
      </c>
      <c r="I14" s="26" t="str">
        <f aca="false">IF(F14&lt;&gt;"Sales","Owned by "&amp;F14,IF(H14&gt;0,"Covered in model",IF(G14&gt;0,"Covered by proposal","Value gap")))</f>
        <v>Owned by Customer success</v>
      </c>
      <c r="J14" s="15" t="s">
        <v>715</v>
      </c>
    </row>
    <row r="15" customFormat="false" ht="15" hidden="false" customHeight="false" outlineLevel="0" collapsed="false">
      <c r="A15" s="15" t="s">
        <v>732</v>
      </c>
      <c r="B15" s="15" t="s">
        <v>703</v>
      </c>
      <c r="C15" s="15" t="s">
        <v>726</v>
      </c>
      <c r="D15" s="15" t="s">
        <v>733</v>
      </c>
      <c r="E15" s="15" t="s">
        <v>97</v>
      </c>
      <c r="F15" s="15" t="s">
        <v>411</v>
      </c>
      <c r="G15" s="12" t="n">
        <f aca="false">COUNTIF(Processes!$L$2:$L$34,"*"&amp;A15&amp;"*")</f>
        <v>1</v>
      </c>
      <c r="H15" s="12" t="n">
        <f aca="false">COUNTIFS(Processes!$L$2:$L$34,"*"&amp;A15&amp;"*",Processes!$T$2:$T$34,"In model")</f>
        <v>0</v>
      </c>
      <c r="I15" s="26" t="str">
        <f aca="false">IF(F15&lt;&gt;"Sales","Owned by "&amp;F15,IF(H15&gt;0,"Covered in model",IF(G15&gt;0,"Covered by proposal","Value gap")))</f>
        <v>Covered by proposal</v>
      </c>
      <c r="J15" s="15"/>
    </row>
    <row r="16" customFormat="false" ht="23.85" hidden="false" customHeight="false" outlineLevel="0" collapsed="false">
      <c r="A16" s="15" t="s">
        <v>734</v>
      </c>
      <c r="B16" s="15" t="s">
        <v>735</v>
      </c>
      <c r="C16" s="15" t="s">
        <v>736</v>
      </c>
      <c r="D16" s="15" t="s">
        <v>737</v>
      </c>
      <c r="E16" s="15" t="s">
        <v>85</v>
      </c>
      <c r="F16" s="15" t="s">
        <v>411</v>
      </c>
      <c r="G16" s="12" t="n">
        <f aca="false">COUNTIF(Processes!$L$2:$L$34,"*"&amp;A16&amp;"*")</f>
        <v>3</v>
      </c>
      <c r="H16" s="12" t="n">
        <f aca="false">COUNTIFS(Processes!$L$2:$L$34,"*"&amp;A16&amp;"*",Processes!$T$2:$T$34,"In model")</f>
        <v>0</v>
      </c>
      <c r="I16" s="26" t="str">
        <f aca="false">IF(F16&lt;&gt;"Sales","Owned by "&amp;F16,IF(H16&gt;0,"Covered in model",IF(G16&gt;0,"Covered by proposal","Value gap")))</f>
        <v>Covered by proposal</v>
      </c>
      <c r="J16" s="15"/>
    </row>
    <row r="17" customFormat="false" ht="23.85" hidden="false" customHeight="false" outlineLevel="0" collapsed="false">
      <c r="A17" s="15" t="s">
        <v>738</v>
      </c>
      <c r="B17" s="15" t="s">
        <v>735</v>
      </c>
      <c r="C17" s="15" t="s">
        <v>736</v>
      </c>
      <c r="D17" s="15" t="s">
        <v>739</v>
      </c>
      <c r="E17" s="15" t="s">
        <v>92</v>
      </c>
      <c r="F17" s="15" t="s">
        <v>411</v>
      </c>
      <c r="G17" s="12" t="n">
        <f aca="false">COUNTIF(Processes!$L$2:$L$34,"*"&amp;A17&amp;"*")</f>
        <v>1</v>
      </c>
      <c r="H17" s="12" t="n">
        <f aca="false">COUNTIFS(Processes!$L$2:$L$34,"*"&amp;A17&amp;"*",Processes!$T$2:$T$34,"In model")</f>
        <v>1</v>
      </c>
      <c r="I17" s="26" t="str">
        <f aca="false">IF(F17&lt;&gt;"Sales","Owned by "&amp;F17,IF(H17&gt;0,"Covered in model",IF(G17&gt;0,"Covered by proposal","Value gap")))</f>
        <v>Covered in model</v>
      </c>
      <c r="J17" s="15"/>
    </row>
    <row r="18" customFormat="false" ht="23.85" hidden="false" customHeight="false" outlineLevel="0" collapsed="false">
      <c r="A18" s="15" t="s">
        <v>243</v>
      </c>
      <c r="B18" s="15" t="s">
        <v>735</v>
      </c>
      <c r="C18" s="15" t="s">
        <v>736</v>
      </c>
      <c r="D18" s="15" t="s">
        <v>740</v>
      </c>
      <c r="E18" s="15" t="s">
        <v>97</v>
      </c>
      <c r="F18" s="15" t="s">
        <v>411</v>
      </c>
      <c r="G18" s="12" t="n">
        <f aca="false">COUNTIF(Processes!$L$2:$L$34,"*"&amp;A18&amp;"*")</f>
        <v>2</v>
      </c>
      <c r="H18" s="12" t="n">
        <f aca="false">COUNTIFS(Processes!$L$2:$L$34,"*"&amp;A18&amp;"*",Processes!$T$2:$T$34,"In model")</f>
        <v>1</v>
      </c>
      <c r="I18" s="26" t="str">
        <f aca="false">IF(F18&lt;&gt;"Sales","Owned by "&amp;F18,IF(H18&gt;0,"Covered in model",IF(G18&gt;0,"Covered by proposal","Value gap")))</f>
        <v>Covered in model</v>
      </c>
      <c r="J18" s="15"/>
    </row>
    <row r="19" customFormat="false" ht="23.85" hidden="false" customHeight="false" outlineLevel="0" collapsed="false">
      <c r="A19" s="15" t="s">
        <v>741</v>
      </c>
      <c r="B19" s="15" t="s">
        <v>735</v>
      </c>
      <c r="C19" s="15" t="s">
        <v>736</v>
      </c>
      <c r="D19" s="15" t="s">
        <v>742</v>
      </c>
      <c r="E19" s="15" t="s">
        <v>102</v>
      </c>
      <c r="F19" s="15" t="s">
        <v>411</v>
      </c>
      <c r="G19" s="12" t="n">
        <f aca="false">COUNTIF(Processes!$L$2:$L$34,"*"&amp;A19&amp;"*")</f>
        <v>1</v>
      </c>
      <c r="H19" s="12" t="n">
        <f aca="false">COUNTIFS(Processes!$L$2:$L$34,"*"&amp;A19&amp;"*",Processes!$T$2:$T$34,"In model")</f>
        <v>0</v>
      </c>
      <c r="I19" s="26" t="str">
        <f aca="false">IF(F19&lt;&gt;"Sales","Owned by "&amp;F19,IF(H19&gt;0,"Covered in model",IF(G19&gt;0,"Covered by proposal","Value gap")))</f>
        <v>Covered by proposal</v>
      </c>
      <c r="J19" s="15"/>
    </row>
    <row r="20" customFormat="false" ht="23.85" hidden="false" customHeight="false" outlineLevel="0" collapsed="false">
      <c r="A20" s="15" t="s">
        <v>743</v>
      </c>
      <c r="B20" s="15" t="s">
        <v>735</v>
      </c>
      <c r="C20" s="15" t="s">
        <v>736</v>
      </c>
      <c r="D20" s="15" t="s">
        <v>744</v>
      </c>
      <c r="E20" s="15" t="s">
        <v>107</v>
      </c>
      <c r="F20" s="15" t="s">
        <v>411</v>
      </c>
      <c r="G20" s="12" t="n">
        <f aca="false">COUNTIF(Processes!$L$2:$L$34,"*"&amp;A20&amp;"*")</f>
        <v>1</v>
      </c>
      <c r="H20" s="12" t="n">
        <f aca="false">COUNTIFS(Processes!$L$2:$L$34,"*"&amp;A20&amp;"*",Processes!$T$2:$T$34,"In model")</f>
        <v>0</v>
      </c>
      <c r="I20" s="26" t="str">
        <f aca="false">IF(F20&lt;&gt;"Sales","Owned by "&amp;F20,IF(H20&gt;0,"Covered in model",IF(G20&gt;0,"Covered by proposal","Value gap")))</f>
        <v>Covered by proposal</v>
      </c>
      <c r="J20" s="15"/>
    </row>
    <row r="21" customFormat="false" ht="35.05" hidden="false" customHeight="false" outlineLevel="0" collapsed="false">
      <c r="A21" s="15" t="s">
        <v>745</v>
      </c>
      <c r="B21" s="15" t="s">
        <v>735</v>
      </c>
      <c r="C21" s="15" t="s">
        <v>736</v>
      </c>
      <c r="D21" s="15" t="s">
        <v>746</v>
      </c>
      <c r="E21" s="15" t="s">
        <v>112</v>
      </c>
      <c r="F21" s="15" t="s">
        <v>657</v>
      </c>
      <c r="G21" s="12" t="n">
        <f aca="false">COUNTIF(Processes!$L$2:$L$34,"*"&amp;A21&amp;"*")</f>
        <v>0</v>
      </c>
      <c r="H21" s="12" t="n">
        <f aca="false">COUNTIFS(Processes!$L$2:$L$34,"*"&amp;A21&amp;"*",Processes!$T$2:$T$34,"In model")</f>
        <v>0</v>
      </c>
      <c r="I21" s="26" t="str">
        <f aca="false">IF(F21&lt;&gt;"Sales","Owned by "&amp;F21,IF(H21&gt;0,"Covered in model",IF(G21&gt;0,"Covered by proposal","Value gap")))</f>
        <v>Owned by Customer success</v>
      </c>
      <c r="J21" s="15" t="s">
        <v>715</v>
      </c>
    </row>
    <row r="22" customFormat="false" ht="23.85" hidden="false" customHeight="false" outlineLevel="0" collapsed="false">
      <c r="A22" s="15" t="s">
        <v>346</v>
      </c>
      <c r="B22" s="15" t="s">
        <v>735</v>
      </c>
      <c r="C22" s="15" t="s">
        <v>747</v>
      </c>
      <c r="D22" s="15" t="s">
        <v>748</v>
      </c>
      <c r="E22" s="15" t="s">
        <v>107</v>
      </c>
      <c r="F22" s="15" t="s">
        <v>411</v>
      </c>
      <c r="G22" s="12" t="n">
        <f aca="false">COUNTIF(Processes!$L$2:$L$34,"*"&amp;A22&amp;"*")</f>
        <v>1</v>
      </c>
      <c r="H22" s="12" t="n">
        <f aca="false">COUNTIFS(Processes!$L$2:$L$34,"*"&amp;A22&amp;"*",Processes!$T$2:$T$34,"In model")</f>
        <v>0</v>
      </c>
      <c r="I22" s="26" t="str">
        <f aca="false">IF(F22&lt;&gt;"Sales","Owned by "&amp;F22,IF(H22&gt;0,"Covered in model",IF(G22&gt;0,"Covered by proposal","Value gap")))</f>
        <v>Covered by proposal</v>
      </c>
      <c r="J22" s="15"/>
    </row>
    <row r="23" customFormat="false" ht="35.05" hidden="false" customHeight="false" outlineLevel="0" collapsed="false">
      <c r="A23" s="15" t="s">
        <v>749</v>
      </c>
      <c r="B23" s="15" t="s">
        <v>735</v>
      </c>
      <c r="C23" s="15" t="s">
        <v>747</v>
      </c>
      <c r="D23" s="15" t="s">
        <v>750</v>
      </c>
      <c r="E23" s="15" t="s">
        <v>112</v>
      </c>
      <c r="F23" s="15" t="s">
        <v>657</v>
      </c>
      <c r="G23" s="12" t="n">
        <f aca="false">COUNTIF(Processes!$L$2:$L$34,"*"&amp;A23&amp;"*")</f>
        <v>0</v>
      </c>
      <c r="H23" s="12" t="n">
        <f aca="false">COUNTIFS(Processes!$L$2:$L$34,"*"&amp;A23&amp;"*",Processes!$T$2:$T$34,"In model")</f>
        <v>0</v>
      </c>
      <c r="I23" s="26" t="str">
        <f aca="false">IF(F23&lt;&gt;"Sales","Owned by "&amp;F23,IF(H23&gt;0,"Covered in model",IF(G23&gt;0,"Covered by proposal","Value gap")))</f>
        <v>Owned by Customer success</v>
      </c>
      <c r="J23" s="15" t="s">
        <v>715</v>
      </c>
    </row>
    <row r="24" customFormat="false" ht="35.05" hidden="false" customHeight="false" outlineLevel="0" collapsed="false">
      <c r="A24" s="15" t="s">
        <v>751</v>
      </c>
      <c r="B24" s="15" t="s">
        <v>735</v>
      </c>
      <c r="C24" s="15" t="s">
        <v>747</v>
      </c>
      <c r="D24" s="15" t="s">
        <v>752</v>
      </c>
      <c r="E24" s="15" t="s">
        <v>112</v>
      </c>
      <c r="F24" s="15" t="s">
        <v>657</v>
      </c>
      <c r="G24" s="12" t="n">
        <f aca="false">COUNTIF(Processes!$L$2:$L$34,"*"&amp;A24&amp;"*")</f>
        <v>0</v>
      </c>
      <c r="H24" s="12" t="n">
        <f aca="false">COUNTIFS(Processes!$L$2:$L$34,"*"&amp;A24&amp;"*",Processes!$T$2:$T$34,"In model")</f>
        <v>0</v>
      </c>
      <c r="I24" s="26" t="str">
        <f aca="false">IF(F24&lt;&gt;"Sales","Owned by "&amp;F24,IF(H24&gt;0,"Covered in model",IF(G24&gt;0,"Covered by proposal","Value gap")))</f>
        <v>Owned by Customer success</v>
      </c>
      <c r="J24" s="15" t="s">
        <v>715</v>
      </c>
    </row>
    <row r="25" customFormat="false" ht="35.05" hidden="false" customHeight="false" outlineLevel="0" collapsed="false">
      <c r="A25" s="15" t="s">
        <v>753</v>
      </c>
      <c r="B25" s="15" t="s">
        <v>735</v>
      </c>
      <c r="C25" s="15" t="s">
        <v>747</v>
      </c>
      <c r="D25" s="15" t="s">
        <v>754</v>
      </c>
      <c r="E25" s="15" t="s">
        <v>112</v>
      </c>
      <c r="F25" s="15" t="s">
        <v>657</v>
      </c>
      <c r="G25" s="12" t="n">
        <f aca="false">COUNTIF(Processes!$L$2:$L$34,"*"&amp;A25&amp;"*")</f>
        <v>0</v>
      </c>
      <c r="H25" s="12" t="n">
        <f aca="false">COUNTIFS(Processes!$L$2:$L$34,"*"&amp;A25&amp;"*",Processes!$T$2:$T$34,"In model")</f>
        <v>0</v>
      </c>
      <c r="I25" s="26" t="str">
        <f aca="false">IF(F25&lt;&gt;"Sales","Owned by "&amp;F25,IF(H25&gt;0,"Covered in model",IF(G25&gt;0,"Covered by proposal","Value gap")))</f>
        <v>Owned by Customer success</v>
      </c>
      <c r="J25" s="15" t="s">
        <v>715</v>
      </c>
    </row>
    <row r="26" customFormat="false" ht="23.85" hidden="false" customHeight="false" outlineLevel="0" collapsed="false">
      <c r="A26" s="15" t="s">
        <v>755</v>
      </c>
      <c r="B26" s="15" t="s">
        <v>735</v>
      </c>
      <c r="C26" s="15" t="s">
        <v>756</v>
      </c>
      <c r="D26" s="15" t="s">
        <v>757</v>
      </c>
      <c r="E26" s="15" t="s">
        <v>102</v>
      </c>
      <c r="F26" s="15" t="s">
        <v>411</v>
      </c>
      <c r="G26" s="12" t="n">
        <f aca="false">COUNTIF(Processes!$L$2:$L$34,"*"&amp;A26&amp;"*")</f>
        <v>1</v>
      </c>
      <c r="H26" s="12" t="n">
        <f aca="false">COUNTIFS(Processes!$L$2:$L$34,"*"&amp;A26&amp;"*",Processes!$T$2:$T$34,"In model")</f>
        <v>0</v>
      </c>
      <c r="I26" s="26" t="str">
        <f aca="false">IF(F26&lt;&gt;"Sales","Owned by "&amp;F26,IF(H26&gt;0,"Covered in model",IF(G26&gt;0,"Covered by proposal","Value gap")))</f>
        <v>Covered by proposal</v>
      </c>
      <c r="J26" s="15"/>
    </row>
    <row r="27" customFormat="false" ht="35.05" hidden="false" customHeight="false" outlineLevel="0" collapsed="false">
      <c r="A27" s="15" t="s">
        <v>758</v>
      </c>
      <c r="B27" s="15" t="s">
        <v>735</v>
      </c>
      <c r="C27" s="15" t="s">
        <v>756</v>
      </c>
      <c r="D27" s="15" t="s">
        <v>759</v>
      </c>
      <c r="E27" s="15" t="s">
        <v>112</v>
      </c>
      <c r="F27" s="15" t="s">
        <v>657</v>
      </c>
      <c r="G27" s="12" t="n">
        <f aca="false">COUNTIF(Processes!$L$2:$L$34,"*"&amp;A27&amp;"*")</f>
        <v>0</v>
      </c>
      <c r="H27" s="12" t="n">
        <f aca="false">COUNTIFS(Processes!$L$2:$L$34,"*"&amp;A27&amp;"*",Processes!$T$2:$T$34,"In model")</f>
        <v>0</v>
      </c>
      <c r="I27" s="26" t="str">
        <f aca="false">IF(F27&lt;&gt;"Sales","Owned by "&amp;F27,IF(H27&gt;0,"Covered in model",IF(G27&gt;0,"Covered by proposal","Value gap")))</f>
        <v>Owned by Customer success</v>
      </c>
      <c r="J27" s="15" t="s">
        <v>715</v>
      </c>
    </row>
    <row r="28" customFormat="false" ht="35.05" hidden="false" customHeight="false" outlineLevel="0" collapsed="false">
      <c r="A28" s="15" t="s">
        <v>760</v>
      </c>
      <c r="B28" s="15" t="s">
        <v>735</v>
      </c>
      <c r="C28" s="15" t="s">
        <v>756</v>
      </c>
      <c r="D28" s="15" t="s">
        <v>761</v>
      </c>
      <c r="E28" s="15" t="s">
        <v>112</v>
      </c>
      <c r="F28" s="15" t="s">
        <v>657</v>
      </c>
      <c r="G28" s="12" t="n">
        <f aca="false">COUNTIF(Processes!$L$2:$L$34,"*"&amp;A28&amp;"*")</f>
        <v>0</v>
      </c>
      <c r="H28" s="12" t="n">
        <f aca="false">COUNTIFS(Processes!$L$2:$L$34,"*"&amp;A28&amp;"*",Processes!$T$2:$T$34,"In model")</f>
        <v>0</v>
      </c>
      <c r="I28" s="26" t="str">
        <f aca="false">IF(F28&lt;&gt;"Sales","Owned by "&amp;F28,IF(H28&gt;0,"Covered in model",IF(G28&gt;0,"Covered by proposal","Value gap")))</f>
        <v>Owned by Customer success</v>
      </c>
      <c r="J28" s="15" t="s">
        <v>715</v>
      </c>
    </row>
    <row r="29" customFormat="false" ht="35.05" hidden="false" customHeight="false" outlineLevel="0" collapsed="false">
      <c r="A29" s="15" t="s">
        <v>762</v>
      </c>
      <c r="B29" s="15" t="s">
        <v>735</v>
      </c>
      <c r="C29" s="15" t="s">
        <v>756</v>
      </c>
      <c r="D29" s="15" t="s">
        <v>763</v>
      </c>
      <c r="E29" s="15" t="s">
        <v>112</v>
      </c>
      <c r="F29" s="15" t="s">
        <v>657</v>
      </c>
      <c r="G29" s="12" t="n">
        <f aca="false">COUNTIF(Processes!$L$2:$L$34,"*"&amp;A29&amp;"*")</f>
        <v>0</v>
      </c>
      <c r="H29" s="12" t="n">
        <f aca="false">COUNTIFS(Processes!$L$2:$L$34,"*"&amp;A29&amp;"*",Processes!$T$2:$T$34,"In model")</f>
        <v>0</v>
      </c>
      <c r="I29" s="26" t="str">
        <f aca="false">IF(F29&lt;&gt;"Sales","Owned by "&amp;F29,IF(H29&gt;0,"Covered in model",IF(G29&gt;0,"Covered by proposal","Value gap")))</f>
        <v>Owned by Customer success</v>
      </c>
      <c r="J29" s="15" t="s">
        <v>715</v>
      </c>
    </row>
  </sheetData>
  <autoFilter ref="A1:J29"/>
  <conditionalFormatting sqref="I2:I29">
    <cfRule type="expression" priority="2" aboveAverage="0" equalAverage="0" bottom="0" percent="0" rank="0" text="" dxfId="10">
      <formula>I2="Value gap"</formula>
    </cfRule>
    <cfRule type="expression" priority="3" aboveAverage="0" equalAverage="0" bottom="0" percent="0" rank="0" text="" dxfId="11">
      <formula>I2="Covered by proposal"</formula>
    </cfRule>
    <cfRule type="expression" priority="4" aboveAverage="0" equalAverage="0" bottom="0" percent="0" rank="0" text="" dxfId="12">
      <formula>I2="Covered in model"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5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56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9" t="s">
        <v>53</v>
      </c>
      <c r="B1" s="9" t="s">
        <v>764</v>
      </c>
      <c r="C1" s="9" t="s">
        <v>58</v>
      </c>
      <c r="D1" s="9" t="s">
        <v>765</v>
      </c>
      <c r="E1" s="9" t="s">
        <v>766</v>
      </c>
      <c r="F1" s="9" t="s">
        <v>767</v>
      </c>
      <c r="G1" s="9" t="s">
        <v>66</v>
      </c>
      <c r="H1" s="9" t="s">
        <v>30</v>
      </c>
    </row>
    <row r="2" customFormat="false" ht="23.85" hidden="false" customHeight="false" outlineLevel="0" collapsed="false">
      <c r="A2" s="15" t="s">
        <v>768</v>
      </c>
      <c r="B2" s="15" t="s">
        <v>769</v>
      </c>
      <c r="C2" s="15" t="s">
        <v>770</v>
      </c>
      <c r="D2" s="15" t="s">
        <v>771</v>
      </c>
      <c r="E2" s="15" t="s">
        <v>772</v>
      </c>
      <c r="F2" s="15" t="s">
        <v>773</v>
      </c>
      <c r="G2" s="15" t="s">
        <v>774</v>
      </c>
      <c r="H2" s="15" t="s">
        <v>83</v>
      </c>
    </row>
    <row r="3" customFormat="false" ht="23.85" hidden="false" customHeight="false" outlineLevel="0" collapsed="false">
      <c r="A3" s="15" t="s">
        <v>775</v>
      </c>
      <c r="B3" s="15" t="s">
        <v>776</v>
      </c>
      <c r="C3" s="15" t="s">
        <v>777</v>
      </c>
      <c r="D3" s="15" t="s">
        <v>778</v>
      </c>
      <c r="E3" s="15" t="s">
        <v>779</v>
      </c>
      <c r="F3" s="15" t="s">
        <v>70</v>
      </c>
      <c r="G3" s="15" t="s">
        <v>780</v>
      </c>
      <c r="H3" s="15" t="s">
        <v>83</v>
      </c>
    </row>
    <row r="4" customFormat="false" ht="23.85" hidden="false" customHeight="false" outlineLevel="0" collapsed="false">
      <c r="A4" s="15" t="s">
        <v>781</v>
      </c>
      <c r="B4" s="15" t="s">
        <v>782</v>
      </c>
      <c r="C4" s="15" t="s">
        <v>783</v>
      </c>
      <c r="D4" s="15" t="s">
        <v>784</v>
      </c>
      <c r="E4" s="15" t="s">
        <v>785</v>
      </c>
      <c r="F4" s="15" t="s">
        <v>70</v>
      </c>
      <c r="G4" s="15" t="s">
        <v>786</v>
      </c>
      <c r="H4" s="15" t="s">
        <v>83</v>
      </c>
    </row>
    <row r="5" customFormat="false" ht="15" hidden="false" customHeight="false" outlineLevel="0" collapsed="false">
      <c r="A5" s="15" t="s">
        <v>787</v>
      </c>
      <c r="B5" s="15" t="s">
        <v>788</v>
      </c>
      <c r="C5" s="15" t="s">
        <v>789</v>
      </c>
      <c r="D5" s="15" t="s">
        <v>790</v>
      </c>
      <c r="E5" s="15" t="s">
        <v>772</v>
      </c>
      <c r="F5" s="15" t="s">
        <v>373</v>
      </c>
      <c r="G5" s="15" t="s">
        <v>791</v>
      </c>
      <c r="H5" s="15" t="s">
        <v>83</v>
      </c>
    </row>
    <row r="6" customFormat="false" ht="23.85" hidden="false" customHeight="false" outlineLevel="0" collapsed="false">
      <c r="A6" s="15" t="s">
        <v>792</v>
      </c>
      <c r="B6" s="15" t="s">
        <v>793</v>
      </c>
      <c r="C6" s="15" t="s">
        <v>794</v>
      </c>
      <c r="D6" s="15" t="s">
        <v>795</v>
      </c>
      <c r="E6" s="15" t="s">
        <v>796</v>
      </c>
      <c r="F6" s="15" t="s">
        <v>797</v>
      </c>
      <c r="G6" s="15" t="s">
        <v>798</v>
      </c>
      <c r="H6" s="15" t="s">
        <v>83</v>
      </c>
    </row>
    <row r="7" customFormat="false" ht="23.85" hidden="false" customHeight="false" outlineLevel="0" collapsed="false">
      <c r="A7" s="15" t="s">
        <v>799</v>
      </c>
      <c r="B7" s="15" t="s">
        <v>800</v>
      </c>
      <c r="C7" s="15" t="s">
        <v>801</v>
      </c>
      <c r="D7" s="15" t="s">
        <v>802</v>
      </c>
      <c r="E7" s="15" t="s">
        <v>796</v>
      </c>
      <c r="F7" s="15" t="s">
        <v>351</v>
      </c>
      <c r="G7" s="15" t="s">
        <v>803</v>
      </c>
      <c r="H7" s="15" t="s">
        <v>83</v>
      </c>
    </row>
    <row r="8" customFormat="false" ht="23.85" hidden="false" customHeight="false" outlineLevel="0" collapsed="false">
      <c r="A8" s="15" t="s">
        <v>804</v>
      </c>
      <c r="B8" s="15" t="s">
        <v>497</v>
      </c>
      <c r="C8" s="15" t="s">
        <v>805</v>
      </c>
      <c r="D8" s="15" t="s">
        <v>806</v>
      </c>
      <c r="E8" s="15" t="s">
        <v>796</v>
      </c>
      <c r="F8" s="15" t="s">
        <v>70</v>
      </c>
      <c r="G8" s="15" t="s">
        <v>807</v>
      </c>
      <c r="H8" s="15" t="s">
        <v>83</v>
      </c>
    </row>
    <row r="9" customFormat="false" ht="23.85" hidden="false" customHeight="false" outlineLevel="0" collapsed="false">
      <c r="A9" s="15" t="s">
        <v>808</v>
      </c>
      <c r="B9" s="15" t="s">
        <v>809</v>
      </c>
      <c r="C9" s="15" t="s">
        <v>810</v>
      </c>
      <c r="D9" s="15" t="s">
        <v>811</v>
      </c>
      <c r="E9" s="15" t="s">
        <v>772</v>
      </c>
      <c r="F9" s="15" t="s">
        <v>812</v>
      </c>
      <c r="G9" s="15" t="s">
        <v>813</v>
      </c>
      <c r="H9" s="15" t="s">
        <v>147</v>
      </c>
    </row>
    <row r="10" customFormat="false" ht="23.85" hidden="false" customHeight="false" outlineLevel="0" collapsed="false">
      <c r="A10" s="15" t="s">
        <v>814</v>
      </c>
      <c r="B10" s="15" t="s">
        <v>815</v>
      </c>
      <c r="C10" s="15" t="s">
        <v>816</v>
      </c>
      <c r="D10" s="15" t="s">
        <v>817</v>
      </c>
      <c r="E10" s="15" t="s">
        <v>779</v>
      </c>
      <c r="F10" s="15" t="s">
        <v>812</v>
      </c>
      <c r="G10" s="15" t="s">
        <v>818</v>
      </c>
      <c r="H10" s="15" t="s">
        <v>147</v>
      </c>
    </row>
    <row r="11" customFormat="false" ht="15" hidden="false" customHeight="false" outlineLevel="0" collapsed="false">
      <c r="A11" s="15" t="s">
        <v>819</v>
      </c>
      <c r="B11" s="15" t="s">
        <v>463</v>
      </c>
      <c r="C11" s="15" t="s">
        <v>820</v>
      </c>
      <c r="D11" s="15" t="s">
        <v>821</v>
      </c>
      <c r="E11" s="15" t="s">
        <v>822</v>
      </c>
      <c r="F11" s="15" t="s">
        <v>460</v>
      </c>
      <c r="G11" s="15" t="s">
        <v>823</v>
      </c>
      <c r="H11" s="15" t="s">
        <v>147</v>
      </c>
    </row>
    <row r="12" customFormat="false" ht="23.85" hidden="false" customHeight="false" outlineLevel="0" collapsed="false">
      <c r="A12" s="15" t="s">
        <v>824</v>
      </c>
      <c r="B12" s="15" t="s">
        <v>265</v>
      </c>
      <c r="C12" s="15" t="s">
        <v>825</v>
      </c>
      <c r="D12" s="15" t="s">
        <v>826</v>
      </c>
      <c r="E12" s="15" t="s">
        <v>827</v>
      </c>
      <c r="F12" s="15" t="s">
        <v>258</v>
      </c>
      <c r="G12" s="15" t="s">
        <v>828</v>
      </c>
      <c r="H12" s="15" t="s">
        <v>147</v>
      </c>
    </row>
    <row r="13" customFormat="false" ht="23.85" hidden="false" customHeight="false" outlineLevel="0" collapsed="false">
      <c r="A13" s="15" t="s">
        <v>829</v>
      </c>
      <c r="B13" s="15" t="s">
        <v>830</v>
      </c>
      <c r="C13" s="15" t="s">
        <v>831</v>
      </c>
      <c r="D13" s="15" t="s">
        <v>832</v>
      </c>
      <c r="E13" s="15" t="s">
        <v>772</v>
      </c>
      <c r="F13" s="15" t="s">
        <v>383</v>
      </c>
      <c r="G13" s="15" t="s">
        <v>833</v>
      </c>
      <c r="H13" s="15" t="s">
        <v>147</v>
      </c>
    </row>
    <row r="14" customFormat="false" ht="23.85" hidden="false" customHeight="false" outlineLevel="0" collapsed="false">
      <c r="A14" s="15" t="s">
        <v>834</v>
      </c>
      <c r="B14" s="15" t="s">
        <v>835</v>
      </c>
      <c r="C14" s="15" t="s">
        <v>836</v>
      </c>
      <c r="D14" s="15" t="s">
        <v>837</v>
      </c>
      <c r="E14" s="15" t="s">
        <v>772</v>
      </c>
      <c r="F14" s="15" t="s">
        <v>70</v>
      </c>
      <c r="G14" s="15" t="s">
        <v>838</v>
      </c>
      <c r="H14" s="15" t="s">
        <v>147</v>
      </c>
    </row>
  </sheetData>
  <autoFilter ref="A1:H14"/>
  <dataValidations count="1">
    <dataValidation allowBlank="true" errorStyle="stop" operator="between" showDropDown="false" showErrorMessage="false" showInputMessage="false" sqref="H2:H213" type="list">
      <formula1>"In model,Proposed,Retired"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2026-10-20T03:00:46Z</dcterms:created>
  <dc:creator>openpyxl</dc:creator>
  <dc:description/>
  <dc:language>en-US</dc:language>
  <cp:lastModifiedBy/>
  <dcterms:modified xsi:type="dcterms:W3CDTF">2026-10-20T03:00:46Z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